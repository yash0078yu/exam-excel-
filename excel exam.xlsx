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yash\OneDrive\Desktop\"/>
    </mc:Choice>
  </mc:AlternateContent>
  <xr:revisionPtr revIDLastSave="0" documentId="13_ncr:1_{C86063C3-8457-4169-AE9A-811F96080B87}" xr6:coauthVersionLast="47" xr6:coauthVersionMax="47" xr10:uidLastSave="{00000000-0000-0000-0000-000000000000}"/>
  <bookViews>
    <workbookView xWindow="-108" yWindow="-108" windowWidth="23256" windowHeight="12456" activeTab="5" xr2:uid="{01602BDB-81E2-4793-B885-10479F503524}"/>
  </bookViews>
  <sheets>
    <sheet name="Dataset" sheetId="1" r:id="rId1"/>
    <sheet name="city sale" sheetId="2" r:id="rId2"/>
    <sheet name="line chart" sheetId="3" r:id="rId3"/>
    <sheet name="pyment" sheetId="4" r:id="rId4"/>
    <sheet name="clusturd chart" sheetId="5" r:id="rId5"/>
    <sheet name="Dashboard" sheetId="6" r:id="rId6"/>
  </sheets>
  <definedNames>
    <definedName name="Slicer_Category">#N/A</definedName>
    <definedName name="Slicer_City">#N/A</definedName>
    <definedName name="Slicer_Date">#N/A</definedName>
  </definedNames>
  <calcPr calcId="191029"/>
  <pivotCaches>
    <pivotCache cacheId="4" r:id="rId7"/>
    <pivotCache cacheId="1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3" l="1"/>
  <c r="P3" i="1" l="1"/>
  <c r="P9" i="1" a="1"/>
  <c r="P9" i="1" s="1"/>
  <c r="P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<sst xmlns="http://schemas.openxmlformats.org/spreadsheetml/2006/main" count="1559" uniqueCount="55">
  <si>
    <t>City</t>
  </si>
  <si>
    <t>Ahmedabad</t>
  </si>
  <si>
    <t>Surat</t>
  </si>
  <si>
    <t>Bill No</t>
  </si>
  <si>
    <t>Date</t>
  </si>
  <si>
    <t>Customer Type</t>
  </si>
  <si>
    <t>Gender</t>
  </si>
  <si>
    <t>Product</t>
  </si>
  <si>
    <t>Category</t>
  </si>
  <si>
    <t>Quantity</t>
  </si>
  <si>
    <t>Unit Price</t>
  </si>
  <si>
    <t>Total Amount</t>
  </si>
  <si>
    <t>Payment Method</t>
  </si>
  <si>
    <t>Member</t>
  </si>
  <si>
    <t>Female</t>
  </si>
  <si>
    <t>Bread</t>
  </si>
  <si>
    <t>Bakery</t>
  </si>
  <si>
    <t>Card</t>
  </si>
  <si>
    <t>Normal</t>
  </si>
  <si>
    <t>Cookies</t>
  </si>
  <si>
    <t>Cash</t>
  </si>
  <si>
    <t>Cold Drink</t>
  </si>
  <si>
    <t>Beverages</t>
  </si>
  <si>
    <t>Rajkot</t>
  </si>
  <si>
    <t>Milk</t>
  </si>
  <si>
    <t>Dairy</t>
  </si>
  <si>
    <t>Juice</t>
  </si>
  <si>
    <t>Onion</t>
  </si>
  <si>
    <t>Vegetables</t>
  </si>
  <si>
    <t>UPI</t>
  </si>
  <si>
    <t>Male</t>
  </si>
  <si>
    <t>Rice</t>
  </si>
  <si>
    <t>Grocery</t>
  </si>
  <si>
    <t>Vadodara</t>
  </si>
  <si>
    <t>Chicken</t>
  </si>
  <si>
    <t>Meat</t>
  </si>
  <si>
    <t>Butter</t>
  </si>
  <si>
    <t>Banana</t>
  </si>
  <si>
    <t>Fruits</t>
  </si>
  <si>
    <t>Potato</t>
  </si>
  <si>
    <t>Fish</t>
  </si>
  <si>
    <t>Apple</t>
  </si>
  <si>
    <t>Eggs</t>
  </si>
  <si>
    <t>Tomato</t>
  </si>
  <si>
    <t>Cheese</t>
  </si>
  <si>
    <t>Row Labels</t>
  </si>
  <si>
    <t>Grand Total</t>
  </si>
  <si>
    <t>Sum of Total Amount</t>
  </si>
  <si>
    <t>2.index-match</t>
  </si>
  <si>
    <t>Find total sales using UPI</t>
  </si>
  <si>
    <t>3.If-condition</t>
  </si>
  <si>
    <t>Find total sales of Female customers</t>
  </si>
  <si>
    <t>1.Vlookup</t>
  </si>
  <si>
    <t>Find product price using VLOOKUP</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</si>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</sst>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0" fillId="2" borderId="0" xfId="0" applyFill="1" applyAlignment="1">
      <alignment vertical="top"/>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exam.xlsx]city sale!PivotTable1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sales</a:t>
            </a:r>
            <a:endParaRPr lang="en-US"/>
          </a:p>
        </c:rich>
      </c:tx>
      <c:overlay val="0"/>
      <c:spPr>
        <a:solidFill>
          <a:schemeClr val="accent5">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7366939957246"/>
          <c:y val="0.16963809523809523"/>
          <c:w val="0.75499905295343239"/>
          <c:h val="0.72292733408323961"/>
        </c:manualLayout>
      </c:layout>
      <c:barChart>
        <c:barDir val="col"/>
        <c:grouping val="stacked"/>
        <c:varyColors val="0"/>
        <c:ser>
          <c:idx val="0"/>
          <c:order val="0"/>
          <c:tx>
            <c:strRef>
              <c:f>'city sale'!$B$3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 sale'!$A$4:$A$8</c:f>
              <c:strCache>
                <c:ptCount val="4"/>
                <c:pt idx="0">
                  <c:v>Ahmedabad</c:v>
                </c:pt>
                <c:pt idx="1">
                  <c:v>Rajkot</c:v>
                </c:pt>
                <c:pt idx="2">
                  <c:v>Surat</c:v>
                </c:pt>
                <c:pt idx="3">
                  <c:v>Vadodara</c:v>
                </c:pt>
              </c:strCache>
            </c:strRef>
          </c:cat>
          <c:val>
            <c:numRef>
              <c:f>'city sale'!$B$4:$B$8</c:f>
              <c:numCache>
                <c:formatCode>General</c:formatCode>
                <c:ptCount val="4"/>
                <c:pt idx="0">
                  <c:v>28406</c:v>
                </c:pt>
                <c:pt idx="1">
                  <c:v>34746</c:v>
                </c:pt>
                <c:pt idx="2">
                  <c:v>18846</c:v>
                </c:pt>
                <c:pt idx="3">
                  <c:v>37113</c:v>
                </c:pt>
              </c:numCache>
            </c:numRef>
          </c:val>
          <c:extLst>
            <c:ext xmlns:c16="http://schemas.microsoft.com/office/drawing/2014/chart" uri="{C3380CC4-5D6E-409C-BE32-E72D297353CC}">
              <c16:uniqueId val="{00000000-EAD0-4E10-9EFE-44A0EA29D80E}"/>
            </c:ext>
          </c:extLst>
        </c:ser>
        <c:dLbls>
          <c:showLegendKey val="0"/>
          <c:showVal val="0"/>
          <c:showCatName val="0"/>
          <c:showSerName val="0"/>
          <c:showPercent val="0"/>
          <c:showBubbleSize val="0"/>
        </c:dLbls>
        <c:gapWidth val="150"/>
        <c:overlap val="100"/>
        <c:axId val="1812371839"/>
        <c:axId val="1812380959"/>
      </c:barChart>
      <c:catAx>
        <c:axId val="1812371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80959"/>
        <c:crosses val="autoZero"/>
        <c:auto val="1"/>
        <c:lblAlgn val="ctr"/>
        <c:lblOffset val="100"/>
        <c:noMultiLvlLbl val="0"/>
      </c:catAx>
      <c:valAx>
        <c:axId val="1812380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18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exam.xlsx]line chart!PivotTable2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chart'!$A$4:$A$11</c:f>
              <c:strCache>
                <c:ptCount val="7"/>
                <c:pt idx="0">
                  <c:v>Bakery</c:v>
                </c:pt>
                <c:pt idx="1">
                  <c:v>Beverages</c:v>
                </c:pt>
                <c:pt idx="2">
                  <c:v>Dairy</c:v>
                </c:pt>
                <c:pt idx="3">
                  <c:v>Fruits</c:v>
                </c:pt>
                <c:pt idx="4">
                  <c:v>Grocery</c:v>
                </c:pt>
                <c:pt idx="5">
                  <c:v>Meat</c:v>
                </c:pt>
                <c:pt idx="6">
                  <c:v>Vegetables</c:v>
                </c:pt>
              </c:strCache>
            </c:strRef>
          </c:cat>
          <c:val>
            <c:numRef>
              <c:f>'line chart'!$B$4:$B$11</c:f>
              <c:numCache>
                <c:formatCode>General</c:formatCode>
                <c:ptCount val="7"/>
                <c:pt idx="0">
                  <c:v>10500</c:v>
                </c:pt>
                <c:pt idx="1">
                  <c:v>11400</c:v>
                </c:pt>
                <c:pt idx="2">
                  <c:v>25656</c:v>
                </c:pt>
                <c:pt idx="3">
                  <c:v>10860</c:v>
                </c:pt>
                <c:pt idx="4">
                  <c:v>3660</c:v>
                </c:pt>
                <c:pt idx="5">
                  <c:v>47500</c:v>
                </c:pt>
                <c:pt idx="6">
                  <c:v>9535</c:v>
                </c:pt>
              </c:numCache>
            </c:numRef>
          </c:val>
          <c:smooth val="0"/>
          <c:extLst>
            <c:ext xmlns:c16="http://schemas.microsoft.com/office/drawing/2014/chart" uri="{C3380CC4-5D6E-409C-BE32-E72D297353CC}">
              <c16:uniqueId val="{00000000-D31F-4EE7-A779-59AD15A5F2BB}"/>
            </c:ext>
          </c:extLst>
        </c:ser>
        <c:dLbls>
          <c:showLegendKey val="0"/>
          <c:showVal val="0"/>
          <c:showCatName val="0"/>
          <c:showSerName val="0"/>
          <c:showPercent val="0"/>
          <c:showBubbleSize val="0"/>
        </c:dLbls>
        <c:marker val="1"/>
        <c:smooth val="0"/>
        <c:axId val="1812369919"/>
        <c:axId val="1812372319"/>
      </c:lineChart>
      <c:catAx>
        <c:axId val="1812369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2319"/>
        <c:crosses val="autoZero"/>
        <c:auto val="1"/>
        <c:lblAlgn val="ctr"/>
        <c:lblOffset val="100"/>
        <c:noMultiLvlLbl val="0"/>
      </c:catAx>
      <c:valAx>
        <c:axId val="1812372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699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exam.xlsx]pyment!PivotTable3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Pyment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pyment!$B$3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pyment!$A$4:$A$7</c:f>
              <c:strCache>
                <c:ptCount val="3"/>
                <c:pt idx="0">
                  <c:v>Card</c:v>
                </c:pt>
                <c:pt idx="1">
                  <c:v>Cash</c:v>
                </c:pt>
                <c:pt idx="2">
                  <c:v>UPI</c:v>
                </c:pt>
              </c:strCache>
            </c:strRef>
          </c:cat>
          <c:val>
            <c:numRef>
              <c:f>pyment!$B$4:$B$7</c:f>
              <c:numCache>
                <c:formatCode>General</c:formatCode>
                <c:ptCount val="3"/>
                <c:pt idx="0">
                  <c:v>36801</c:v>
                </c:pt>
                <c:pt idx="1">
                  <c:v>40764</c:v>
                </c:pt>
                <c:pt idx="2">
                  <c:v>41546</c:v>
                </c:pt>
              </c:numCache>
            </c:numRef>
          </c:val>
          <c:extLst>
            <c:ext xmlns:c16="http://schemas.microsoft.com/office/drawing/2014/chart" uri="{C3380CC4-5D6E-409C-BE32-E72D297353CC}">
              <c16:uniqueId val="{00000000-BBF4-482E-9C7C-08E401BA7F5A}"/>
            </c:ext>
          </c:extLst>
        </c:ser>
        <c:dLbls>
          <c:showLegendKey val="0"/>
          <c:showVal val="0"/>
          <c:showCatName val="0"/>
          <c:showSerName val="0"/>
          <c:showPercent val="0"/>
          <c:showBubbleSize val="0"/>
        </c:dLbls>
        <c:gapWidth val="150"/>
        <c:overlap val="100"/>
        <c:axId val="1812358399"/>
        <c:axId val="1812375199"/>
      </c:barChart>
      <c:catAx>
        <c:axId val="181235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5199"/>
        <c:crosses val="autoZero"/>
        <c:auto val="1"/>
        <c:lblAlgn val="ctr"/>
        <c:lblOffset val="100"/>
        <c:noMultiLvlLbl val="0"/>
      </c:catAx>
      <c:valAx>
        <c:axId val="1812375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583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exam.xlsx]clusturd chart!PivotTable4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performance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'clusturd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'clusturd chart'!$A$4:$A$20</c:f>
              <c:strCache>
                <c:ptCount val="16"/>
                <c:pt idx="0">
                  <c:v>Apple</c:v>
                </c:pt>
                <c:pt idx="1">
                  <c:v>Banana</c:v>
                </c:pt>
                <c:pt idx="2">
                  <c:v>Bread</c:v>
                </c:pt>
                <c:pt idx="3">
                  <c:v>Butter</c:v>
                </c:pt>
                <c:pt idx="4">
                  <c:v>Cheese</c:v>
                </c:pt>
                <c:pt idx="5">
                  <c:v>Chicken</c:v>
                </c:pt>
                <c:pt idx="6">
                  <c:v>Cold Drink</c:v>
                </c:pt>
                <c:pt idx="7">
                  <c:v>Cookies</c:v>
                </c:pt>
                <c:pt idx="8">
                  <c:v>Eggs</c:v>
                </c:pt>
                <c:pt idx="9">
                  <c:v>Fish</c:v>
                </c:pt>
                <c:pt idx="10">
                  <c:v>Juice</c:v>
                </c:pt>
                <c:pt idx="11">
                  <c:v>Milk</c:v>
                </c:pt>
                <c:pt idx="12">
                  <c:v>Onion</c:v>
                </c:pt>
                <c:pt idx="13">
                  <c:v>Potato</c:v>
                </c:pt>
                <c:pt idx="14">
                  <c:v>Rice</c:v>
                </c:pt>
                <c:pt idx="15">
                  <c:v>Tomato</c:v>
                </c:pt>
              </c:strCache>
            </c:strRef>
          </c:cat>
          <c:val>
            <c:numRef>
              <c:f>'clusturd chart'!$B$4:$B$20</c:f>
              <c:numCache>
                <c:formatCode>General</c:formatCode>
                <c:ptCount val="16"/>
                <c:pt idx="0">
                  <c:v>111</c:v>
                </c:pt>
                <c:pt idx="1">
                  <c:v>66</c:v>
                </c:pt>
                <c:pt idx="2">
                  <c:v>147</c:v>
                </c:pt>
                <c:pt idx="3">
                  <c:v>73</c:v>
                </c:pt>
                <c:pt idx="4">
                  <c:v>54</c:v>
                </c:pt>
                <c:pt idx="5">
                  <c:v>94</c:v>
                </c:pt>
                <c:pt idx="6">
                  <c:v>93</c:v>
                </c:pt>
                <c:pt idx="7">
                  <c:v>66</c:v>
                </c:pt>
                <c:pt idx="8">
                  <c:v>116</c:v>
                </c:pt>
                <c:pt idx="9">
                  <c:v>80</c:v>
                </c:pt>
                <c:pt idx="10">
                  <c:v>75</c:v>
                </c:pt>
                <c:pt idx="11">
                  <c:v>108</c:v>
                </c:pt>
                <c:pt idx="12">
                  <c:v>102</c:v>
                </c:pt>
                <c:pt idx="13">
                  <c:v>117</c:v>
                </c:pt>
                <c:pt idx="14">
                  <c:v>61</c:v>
                </c:pt>
                <c:pt idx="15">
                  <c:v>76</c:v>
                </c:pt>
              </c:numCache>
            </c:numRef>
          </c:val>
          <c:extLst>
            <c:ext xmlns:c16="http://schemas.microsoft.com/office/drawing/2014/chart" uri="{C3380CC4-5D6E-409C-BE32-E72D297353CC}">
              <c16:uniqueId val="{00000000-AE42-4FAB-8E01-90A0F0FEF7BF}"/>
            </c:ext>
          </c:extLst>
        </c:ser>
        <c:dLbls>
          <c:showLegendKey val="0"/>
          <c:showVal val="0"/>
          <c:showCatName val="0"/>
          <c:showSerName val="0"/>
          <c:showPercent val="0"/>
          <c:showBubbleSize val="0"/>
        </c:dLbls>
        <c:gapWidth val="100"/>
        <c:overlap val="-24"/>
        <c:axId val="1812379999"/>
        <c:axId val="1812384799"/>
      </c:barChart>
      <c:catAx>
        <c:axId val="1812379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84799"/>
        <c:crosses val="autoZero"/>
        <c:auto val="1"/>
        <c:lblAlgn val="ctr"/>
        <c:lblOffset val="100"/>
        <c:noMultiLvlLbl val="0"/>
      </c:catAx>
      <c:valAx>
        <c:axId val="1812384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exam.xlsx]clusturd chart!PivotTable4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performance </a:t>
            </a:r>
          </a:p>
        </c:rich>
      </c:tx>
      <c:overlay val="0"/>
      <c:spPr>
        <a:solidFill>
          <a:schemeClr val="accent1">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'clusturd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'clusturd chart'!$A$4:$A$20</c:f>
              <c:strCache>
                <c:ptCount val="16"/>
                <c:pt idx="0">
                  <c:v>Apple</c:v>
                </c:pt>
                <c:pt idx="1">
                  <c:v>Banana</c:v>
                </c:pt>
                <c:pt idx="2">
                  <c:v>Bread</c:v>
                </c:pt>
                <c:pt idx="3">
                  <c:v>Butter</c:v>
                </c:pt>
                <c:pt idx="4">
                  <c:v>Cheese</c:v>
                </c:pt>
                <c:pt idx="5">
                  <c:v>Chicken</c:v>
                </c:pt>
                <c:pt idx="6">
                  <c:v>Cold Drink</c:v>
                </c:pt>
                <c:pt idx="7">
                  <c:v>Cookies</c:v>
                </c:pt>
                <c:pt idx="8">
                  <c:v>Eggs</c:v>
                </c:pt>
                <c:pt idx="9">
                  <c:v>Fish</c:v>
                </c:pt>
                <c:pt idx="10">
                  <c:v>Juice</c:v>
                </c:pt>
                <c:pt idx="11">
                  <c:v>Milk</c:v>
                </c:pt>
                <c:pt idx="12">
                  <c:v>Onion</c:v>
                </c:pt>
                <c:pt idx="13">
                  <c:v>Potato</c:v>
                </c:pt>
                <c:pt idx="14">
                  <c:v>Rice</c:v>
                </c:pt>
                <c:pt idx="15">
                  <c:v>Tomato</c:v>
                </c:pt>
              </c:strCache>
            </c:strRef>
          </c:cat>
          <c:val>
            <c:numRef>
              <c:f>'clusturd chart'!$B$4:$B$20</c:f>
              <c:numCache>
                <c:formatCode>General</c:formatCode>
                <c:ptCount val="16"/>
                <c:pt idx="0">
                  <c:v>111</c:v>
                </c:pt>
                <c:pt idx="1">
                  <c:v>66</c:v>
                </c:pt>
                <c:pt idx="2">
                  <c:v>147</c:v>
                </c:pt>
                <c:pt idx="3">
                  <c:v>73</c:v>
                </c:pt>
                <c:pt idx="4">
                  <c:v>54</c:v>
                </c:pt>
                <c:pt idx="5">
                  <c:v>94</c:v>
                </c:pt>
                <c:pt idx="6">
                  <c:v>93</c:v>
                </c:pt>
                <c:pt idx="7">
                  <c:v>66</c:v>
                </c:pt>
                <c:pt idx="8">
                  <c:v>116</c:v>
                </c:pt>
                <c:pt idx="9">
                  <c:v>80</c:v>
                </c:pt>
                <c:pt idx="10">
                  <c:v>75</c:v>
                </c:pt>
                <c:pt idx="11">
                  <c:v>108</c:v>
                </c:pt>
                <c:pt idx="12">
                  <c:v>102</c:v>
                </c:pt>
                <c:pt idx="13">
                  <c:v>117</c:v>
                </c:pt>
                <c:pt idx="14">
                  <c:v>61</c:v>
                </c:pt>
                <c:pt idx="15">
                  <c:v>76</c:v>
                </c:pt>
              </c:numCache>
            </c:numRef>
          </c:val>
          <c:extLst>
            <c:ext xmlns:c16="http://schemas.microsoft.com/office/drawing/2014/chart" uri="{C3380CC4-5D6E-409C-BE32-E72D297353CC}">
              <c16:uniqueId val="{00000000-A142-4111-B060-5E0AA370C8F4}"/>
            </c:ext>
          </c:extLst>
        </c:ser>
        <c:dLbls>
          <c:showLegendKey val="0"/>
          <c:showVal val="0"/>
          <c:showCatName val="0"/>
          <c:showSerName val="0"/>
          <c:showPercent val="0"/>
          <c:showBubbleSize val="0"/>
        </c:dLbls>
        <c:gapWidth val="100"/>
        <c:overlap val="-24"/>
        <c:axId val="1812379999"/>
        <c:axId val="1812384799"/>
      </c:barChart>
      <c:catAx>
        <c:axId val="1812379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84799"/>
        <c:crosses val="autoZero"/>
        <c:auto val="1"/>
        <c:lblAlgn val="ctr"/>
        <c:lblOffset val="100"/>
        <c:noMultiLvlLbl val="0"/>
      </c:catAx>
      <c:valAx>
        <c:axId val="1812384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exam.xlsx]pyment!PivotTable3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Pyment</a:t>
            </a:r>
          </a:p>
        </c:rich>
      </c:tx>
      <c:overlay val="0"/>
      <c:spPr>
        <a:solidFill>
          <a:schemeClr val="accent1">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pyment!$B$3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pyment!$A$4:$A$7</c:f>
              <c:strCache>
                <c:ptCount val="3"/>
                <c:pt idx="0">
                  <c:v>Card</c:v>
                </c:pt>
                <c:pt idx="1">
                  <c:v>Cash</c:v>
                </c:pt>
                <c:pt idx="2">
                  <c:v>UPI</c:v>
                </c:pt>
              </c:strCache>
            </c:strRef>
          </c:cat>
          <c:val>
            <c:numRef>
              <c:f>pyment!$B$4:$B$7</c:f>
              <c:numCache>
                <c:formatCode>General</c:formatCode>
                <c:ptCount val="3"/>
                <c:pt idx="0">
                  <c:v>36801</c:v>
                </c:pt>
                <c:pt idx="1">
                  <c:v>40764</c:v>
                </c:pt>
                <c:pt idx="2">
                  <c:v>41546</c:v>
                </c:pt>
              </c:numCache>
            </c:numRef>
          </c:val>
          <c:extLst>
            <c:ext xmlns:c16="http://schemas.microsoft.com/office/drawing/2014/chart" uri="{C3380CC4-5D6E-409C-BE32-E72D297353CC}">
              <c16:uniqueId val="{00000000-C455-46CB-BAD2-5EF69352F04D}"/>
            </c:ext>
          </c:extLst>
        </c:ser>
        <c:dLbls>
          <c:showLegendKey val="0"/>
          <c:showVal val="0"/>
          <c:showCatName val="0"/>
          <c:showSerName val="0"/>
          <c:showPercent val="0"/>
          <c:showBubbleSize val="0"/>
        </c:dLbls>
        <c:gapWidth val="150"/>
        <c:overlap val="100"/>
        <c:axId val="1812358399"/>
        <c:axId val="1812375199"/>
      </c:barChart>
      <c:catAx>
        <c:axId val="181235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5199"/>
        <c:crosses val="autoZero"/>
        <c:auto val="1"/>
        <c:lblAlgn val="ctr"/>
        <c:lblOffset val="100"/>
        <c:noMultiLvlLbl val="0"/>
      </c:catAx>
      <c:valAx>
        <c:axId val="1812375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583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exam.xlsx]line chart!PivotTable2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sales</a:t>
            </a:r>
          </a:p>
        </c:rich>
      </c:tx>
      <c:overlay val="0"/>
      <c:spPr>
        <a:solidFill>
          <a:schemeClr val="accent1">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 chart'!$A$4:$A$11</c:f>
              <c:strCache>
                <c:ptCount val="7"/>
                <c:pt idx="0">
                  <c:v>Bakery</c:v>
                </c:pt>
                <c:pt idx="1">
                  <c:v>Beverages</c:v>
                </c:pt>
                <c:pt idx="2">
                  <c:v>Dairy</c:v>
                </c:pt>
                <c:pt idx="3">
                  <c:v>Fruits</c:v>
                </c:pt>
                <c:pt idx="4">
                  <c:v>Grocery</c:v>
                </c:pt>
                <c:pt idx="5">
                  <c:v>Meat</c:v>
                </c:pt>
                <c:pt idx="6">
                  <c:v>Vegetables</c:v>
                </c:pt>
              </c:strCache>
            </c:strRef>
          </c:cat>
          <c:val>
            <c:numRef>
              <c:f>'line chart'!$B$4:$B$11</c:f>
              <c:numCache>
                <c:formatCode>General</c:formatCode>
                <c:ptCount val="7"/>
                <c:pt idx="0">
                  <c:v>10500</c:v>
                </c:pt>
                <c:pt idx="1">
                  <c:v>11400</c:v>
                </c:pt>
                <c:pt idx="2">
                  <c:v>25656</c:v>
                </c:pt>
                <c:pt idx="3">
                  <c:v>10860</c:v>
                </c:pt>
                <c:pt idx="4">
                  <c:v>3660</c:v>
                </c:pt>
                <c:pt idx="5">
                  <c:v>47500</c:v>
                </c:pt>
                <c:pt idx="6">
                  <c:v>9535</c:v>
                </c:pt>
              </c:numCache>
            </c:numRef>
          </c:val>
          <c:smooth val="0"/>
          <c:extLst>
            <c:ext xmlns:c16="http://schemas.microsoft.com/office/drawing/2014/chart" uri="{C3380CC4-5D6E-409C-BE32-E72D297353CC}">
              <c16:uniqueId val="{00000000-1BBD-46D1-81B0-DAA7453B5AEC}"/>
            </c:ext>
          </c:extLst>
        </c:ser>
        <c:dLbls>
          <c:showLegendKey val="0"/>
          <c:showVal val="0"/>
          <c:showCatName val="0"/>
          <c:showSerName val="0"/>
          <c:showPercent val="0"/>
          <c:showBubbleSize val="0"/>
        </c:dLbls>
        <c:marker val="1"/>
        <c:smooth val="0"/>
        <c:axId val="1812369919"/>
        <c:axId val="1812372319"/>
      </c:lineChart>
      <c:catAx>
        <c:axId val="18123699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2319"/>
        <c:crosses val="autoZero"/>
        <c:auto val="1"/>
        <c:lblAlgn val="ctr"/>
        <c:lblOffset val="100"/>
        <c:noMultiLvlLbl val="0"/>
      </c:catAx>
      <c:valAx>
        <c:axId val="1812372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699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exam.xlsx]city sale!PivotTable1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sales</a:t>
            </a:r>
            <a:endParaRPr lang="en-US"/>
          </a:p>
        </c:rich>
      </c:tx>
      <c:layout>
        <c:manualLayout>
          <c:xMode val="edge"/>
          <c:yMode val="edge"/>
          <c:x val="0.5030370273963688"/>
          <c:y val="4.1322314049586778E-2"/>
        </c:manualLayout>
      </c:layout>
      <c:overlay val="0"/>
      <c:spPr>
        <a:solidFill>
          <a:schemeClr val="accent1">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7366939957246"/>
          <c:y val="0.16963809523809523"/>
          <c:w val="0.75499905295343239"/>
          <c:h val="0.72292733408323961"/>
        </c:manualLayout>
      </c:layout>
      <c:barChart>
        <c:barDir val="col"/>
        <c:grouping val="stacked"/>
        <c:varyColors val="0"/>
        <c:ser>
          <c:idx val="0"/>
          <c:order val="0"/>
          <c:tx>
            <c:strRef>
              <c:f>'city sale'!$B$3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'city sale'!$A$4:$A$8</c:f>
              <c:strCache>
                <c:ptCount val="4"/>
                <c:pt idx="0">
                  <c:v>Ahmedabad</c:v>
                </c:pt>
                <c:pt idx="1">
                  <c:v>Rajkot</c:v>
                </c:pt>
                <c:pt idx="2">
                  <c:v>Surat</c:v>
                </c:pt>
                <c:pt idx="3">
                  <c:v>Vadodara</c:v>
                </c:pt>
              </c:strCache>
            </c:strRef>
          </c:cat>
          <c:val>
            <c:numRef>
              <c:f>'city sale'!$B$4:$B$8</c:f>
              <c:numCache>
                <c:formatCode>General</c:formatCode>
                <c:ptCount val="4"/>
                <c:pt idx="0">
                  <c:v>28406</c:v>
                </c:pt>
                <c:pt idx="1">
                  <c:v>34746</c:v>
                </c:pt>
                <c:pt idx="2">
                  <c:v>18846</c:v>
                </c:pt>
                <c:pt idx="3">
                  <c:v>37113</c:v>
                </c:pt>
              </c:numCache>
            </c:numRef>
          </c:val>
          <c:extLst>
            <c:ext xmlns:c16="http://schemas.microsoft.com/office/drawing/2014/chart" uri="{C3380CC4-5D6E-409C-BE32-E72D297353CC}">
              <c16:uniqueId val="{00000000-8EB5-44BE-9D2A-E55D5D66876F}"/>
            </c:ext>
          </c:extLst>
        </c:ser>
        <c:dLbls>
          <c:showLegendKey val="0"/>
          <c:showVal val="0"/>
          <c:showCatName val="0"/>
          <c:showSerName val="0"/>
          <c:showPercent val="0"/>
          <c:showBubbleSize val="0"/>
        </c:dLbls>
        <c:gapWidth val="150"/>
        <c:overlap val="100"/>
        <c:axId val="1812371839"/>
        <c:axId val="1812380959"/>
      </c:barChart>
      <c:catAx>
        <c:axId val="1812371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80959"/>
        <c:crosses val="autoZero"/>
        <c:auto val="1"/>
        <c:lblAlgn val="ctr"/>
        <c:lblOffset val="100"/>
        <c:noMultiLvlLbl val="0"/>
      </c:catAx>
      <c:valAx>
        <c:axId val="1812380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3718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342900</xdr:colOff>
      <xdr:row>3</xdr:row>
      <xdr:rowOff>0</xdr:rowOff>
    </xdr:from>
    <xdr:to>
      <xdr:col>12</xdr:col>
      <xdr:colOff>30480</xdr:colOff>
      <xdr:row>21</xdr:row>
      <xdr:rowOff>41910</xdr:rowOff>
    </xdr:to>
    <xdr:graphicFrame macro="">
      <xdr:nvGraphicFramePr>
        <xdr:cNvPr id="2" name="Chart 1">
          <a:extLst>
            <a:ext uri="{FF2B5EF4-FFF2-40B4-BE49-F238E27FC236}">
              <a16:creationId xmlns:a16="http://schemas.microsoft.com/office/drawing/2014/main" id="{7D83A4BF-182D-3438-38B8-95C2AD119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205740</xdr:colOff>
      <xdr:row>2</xdr:row>
      <xdr:rowOff>121920</xdr:rowOff>
    </xdr:from>
    <xdr:to>
      <xdr:col>10</xdr:col>
      <xdr:colOff>510540</xdr:colOff>
      <xdr:row>20</xdr:row>
      <xdr:rowOff>179070</xdr:rowOff>
    </xdr:to>
    <xdr:graphicFrame macro="">
      <xdr:nvGraphicFramePr>
        <xdr:cNvPr id="2" name="Chart 1">
          <a:extLst>
            <a:ext uri="{FF2B5EF4-FFF2-40B4-BE49-F238E27FC236}">
              <a16:creationId xmlns:a16="http://schemas.microsoft.com/office/drawing/2014/main" id="{171C18DA-8133-24DF-567B-54A9D866C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2</xdr:row>
      <xdr:rowOff>41910</xdr:rowOff>
    </xdr:from>
    <xdr:to>
      <xdr:col>10</xdr:col>
      <xdr:colOff>396240</xdr:colOff>
      <xdr:row>18</xdr:row>
      <xdr:rowOff>99060</xdr:rowOff>
    </xdr:to>
    <xdr:graphicFrame macro="">
      <xdr:nvGraphicFramePr>
        <xdr:cNvPr id="2" name="Chart 1">
          <a:extLst>
            <a:ext uri="{FF2B5EF4-FFF2-40B4-BE49-F238E27FC236}">
              <a16:creationId xmlns:a16="http://schemas.microsoft.com/office/drawing/2014/main" id="{528213F3-BC27-7455-2450-7F9D94F7B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3</xdr:row>
      <xdr:rowOff>0</xdr:rowOff>
    </xdr:from>
    <xdr:to>
      <xdr:col>12</xdr:col>
      <xdr:colOff>91440</xdr:colOff>
      <xdr:row>21</xdr:row>
      <xdr:rowOff>41910</xdr:rowOff>
    </xdr:to>
    <xdr:graphicFrame macro="">
      <xdr:nvGraphicFramePr>
        <xdr:cNvPr id="2" name="Chart 1">
          <a:extLst>
            <a:ext uri="{FF2B5EF4-FFF2-40B4-BE49-F238E27FC236}">
              <a16:creationId xmlns:a16="http://schemas.microsoft.com/office/drawing/2014/main" id="{12EB9154-C83B-F16B-AB49-3ED1E1650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106680</xdr:colOff>
      <xdr:row>29</xdr:row>
      <xdr:rowOff>91440</xdr:rowOff>
    </xdr:from>
    <xdr:to>
      <xdr:col>17</xdr:col>
      <xdr:colOff>106680</xdr:colOff>
      <xdr:row>42</xdr:row>
      <xdr:rowOff>180975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363B202B-754A-9247-75DD-EA6EA446EE4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304020" y="539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137160</xdr:colOff>
      <xdr:row>30</xdr:row>
      <xdr:rowOff>22860</xdr:rowOff>
    </xdr:from>
    <xdr:to>
      <xdr:col>14</xdr:col>
      <xdr:colOff>137160</xdr:colOff>
      <xdr:row>43</xdr:row>
      <xdr:rowOff>112395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638DA5C-B5D2-AA87-5F18-C9045F73C3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505700" y="550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220980</xdr:colOff>
      <xdr:row>28</xdr:row>
      <xdr:rowOff>175260</xdr:rowOff>
    </xdr:from>
    <xdr:to>
      <xdr:col>20</xdr:col>
      <xdr:colOff>220980</xdr:colOff>
      <xdr:row>42</xdr:row>
      <xdr:rowOff>81915</xdr:rowOff>
    </xdr:to>
    <mc:AlternateContent xmlns:mc="http://schemas.openxmlformats.org/markup-compatibility/2006">
      <mc:Choice xmlns:a14="http://schemas.microsoft.com/office/drawing/2010/main" Requires="a14">
        <xdr:graphicFrame macro="">
          <xdr:nvGraphicFramePr>
            <xdr:cNvPr id="5" name="Date">
              <a:extLst>
                <a:ext uri="{FF2B5EF4-FFF2-40B4-BE49-F238E27FC236}">
                  <a16:creationId xmlns:a16="http://schemas.microsoft.com/office/drawing/2014/main" id="{9E5B6996-2E4D-E28B-D654-817B3867B15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247120" y="5295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xdr:colOff>
      <xdr:row>0</xdr:row>
      <xdr:rowOff>53340</xdr:rowOff>
    </xdr:from>
    <xdr:to>
      <xdr:col>6</xdr:col>
      <xdr:colOff>53340</xdr:colOff>
      <xdr:row>11</xdr:row>
      <xdr:rowOff>0</xdr:rowOff>
    </xdr:to>
    <xdr:sp macro="" textlink="">
      <xdr:nvSpPr>
        <xdr:cNvPr id="2" name="Rectangle: Rounded Corners 1">
          <a:extLst>
            <a:ext uri="{FF2B5EF4-FFF2-40B4-BE49-F238E27FC236}">
              <a16:creationId xmlns:a16="http://schemas.microsoft.com/office/drawing/2014/main" id="{73525726-26F6-19E4-848D-3BD4EFF32554}"/>
            </a:ext>
          </a:extLst>
        </xdr:cNvPr>
        <xdr:cNvSpPr/>
      </xdr:nvSpPr>
      <xdr:spPr>
        <a:xfrm>
          <a:off x="30480" y="53340"/>
          <a:ext cx="3680460" cy="19583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60960</xdr:rowOff>
    </xdr:from>
    <xdr:to>
      <xdr:col>6</xdr:col>
      <xdr:colOff>53340</xdr:colOff>
      <xdr:row>11</xdr:row>
      <xdr:rowOff>22860</xdr:rowOff>
    </xdr:to>
    <xdr:graphicFrame macro="">
      <xdr:nvGraphicFramePr>
        <xdr:cNvPr id="3" name="Chart 2">
          <a:extLst>
            <a:ext uri="{FF2B5EF4-FFF2-40B4-BE49-F238E27FC236}">
              <a16:creationId xmlns:a16="http://schemas.microsoft.com/office/drawing/2014/main" id="{B0C0A7A0-B9C5-462F-9D94-898CBCA64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0</xdr:row>
      <xdr:rowOff>76200</xdr:rowOff>
    </xdr:from>
    <xdr:to>
      <xdr:col>11</xdr:col>
      <xdr:colOff>198120</xdr:colOff>
      <xdr:row>2</xdr:row>
      <xdr:rowOff>121920</xdr:rowOff>
    </xdr:to>
    <xdr:sp macro="" textlink="">
      <xdr:nvSpPr>
        <xdr:cNvPr id="4" name="Rectangle: Rounded Corners 3">
          <a:extLst>
            <a:ext uri="{FF2B5EF4-FFF2-40B4-BE49-F238E27FC236}">
              <a16:creationId xmlns:a16="http://schemas.microsoft.com/office/drawing/2014/main" id="{1EFAA85E-807F-27C8-A727-B3EC0BCD3DB6}"/>
            </a:ext>
          </a:extLst>
        </xdr:cNvPr>
        <xdr:cNvSpPr/>
      </xdr:nvSpPr>
      <xdr:spPr>
        <a:xfrm>
          <a:off x="3962400" y="76200"/>
          <a:ext cx="2941320" cy="41148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Dashboard of sales</a:t>
          </a:r>
        </a:p>
      </xdr:txBody>
    </xdr:sp>
    <xdr:clientData/>
  </xdr:twoCellAnchor>
  <xdr:twoCellAnchor>
    <xdr:from>
      <xdr:col>6</xdr:col>
      <xdr:colOff>426720</xdr:colOff>
      <xdr:row>4</xdr:row>
      <xdr:rowOff>0</xdr:rowOff>
    </xdr:from>
    <xdr:to>
      <xdr:col>11</xdr:col>
      <xdr:colOff>411480</xdr:colOff>
      <xdr:row>13</xdr:row>
      <xdr:rowOff>22860</xdr:rowOff>
    </xdr:to>
    <xdr:sp macro="" textlink="">
      <xdr:nvSpPr>
        <xdr:cNvPr id="5" name="Rectangle: Rounded Corners 4">
          <a:extLst>
            <a:ext uri="{FF2B5EF4-FFF2-40B4-BE49-F238E27FC236}">
              <a16:creationId xmlns:a16="http://schemas.microsoft.com/office/drawing/2014/main" id="{6A6B415E-DAEA-8869-F532-CD7206830AEC}"/>
            </a:ext>
          </a:extLst>
        </xdr:cNvPr>
        <xdr:cNvSpPr/>
      </xdr:nvSpPr>
      <xdr:spPr>
        <a:xfrm>
          <a:off x="4084320" y="731520"/>
          <a:ext cx="3032760" cy="166878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411480</xdr:colOff>
      <xdr:row>4</xdr:row>
      <xdr:rowOff>0</xdr:rowOff>
    </xdr:from>
    <xdr:to>
      <xdr:col>13</xdr:col>
      <xdr:colOff>472440</xdr:colOff>
      <xdr:row>13</xdr:row>
      <xdr:rowOff>76200</xdr:rowOff>
    </xdr:to>
    <xdr:graphicFrame macro="">
      <xdr:nvGraphicFramePr>
        <xdr:cNvPr id="6" name="Chart 5">
          <a:extLst>
            <a:ext uri="{FF2B5EF4-FFF2-40B4-BE49-F238E27FC236}">
              <a16:creationId xmlns:a16="http://schemas.microsoft.com/office/drawing/2014/main" id="{DD86EC42-486E-4FBC-A55A-145D145C5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12</xdr:row>
      <xdr:rowOff>144780</xdr:rowOff>
    </xdr:from>
    <xdr:to>
      <xdr:col>6</xdr:col>
      <xdr:colOff>38100</xdr:colOff>
      <xdr:row>24</xdr:row>
      <xdr:rowOff>152400</xdr:rowOff>
    </xdr:to>
    <xdr:sp macro="" textlink="">
      <xdr:nvSpPr>
        <xdr:cNvPr id="7" name="Rectangle 6">
          <a:extLst>
            <a:ext uri="{FF2B5EF4-FFF2-40B4-BE49-F238E27FC236}">
              <a16:creationId xmlns:a16="http://schemas.microsoft.com/office/drawing/2014/main" id="{9B9D9A1A-38E6-E808-8B8C-A73B8F012503}"/>
            </a:ext>
          </a:extLst>
        </xdr:cNvPr>
        <xdr:cNvSpPr/>
      </xdr:nvSpPr>
      <xdr:spPr>
        <a:xfrm>
          <a:off x="68580" y="2339340"/>
          <a:ext cx="3627120" cy="220218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12</xdr:row>
      <xdr:rowOff>91440</xdr:rowOff>
    </xdr:from>
    <xdr:to>
      <xdr:col>6</xdr:col>
      <xdr:colOff>53340</xdr:colOff>
      <xdr:row>25</xdr:row>
      <xdr:rowOff>0</xdr:rowOff>
    </xdr:to>
    <xdr:graphicFrame macro="">
      <xdr:nvGraphicFramePr>
        <xdr:cNvPr id="8" name="Chart 7">
          <a:extLst>
            <a:ext uri="{FF2B5EF4-FFF2-40B4-BE49-F238E27FC236}">
              <a16:creationId xmlns:a16="http://schemas.microsoft.com/office/drawing/2014/main" id="{CCE912A6-4A45-42C4-B029-FB33589D9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14</xdr:row>
      <xdr:rowOff>160020</xdr:rowOff>
    </xdr:from>
    <xdr:to>
      <xdr:col>14</xdr:col>
      <xdr:colOff>175260</xdr:colOff>
      <xdr:row>24</xdr:row>
      <xdr:rowOff>175260</xdr:rowOff>
    </xdr:to>
    <xdr:graphicFrame macro="">
      <xdr:nvGraphicFramePr>
        <xdr:cNvPr id="10" name="Chart 9">
          <a:extLst>
            <a:ext uri="{FF2B5EF4-FFF2-40B4-BE49-F238E27FC236}">
              <a16:creationId xmlns:a16="http://schemas.microsoft.com/office/drawing/2014/main" id="{2F9B5540-E113-4471-91EC-6793566EE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228600</xdr:colOff>
      <xdr:row>0</xdr:row>
      <xdr:rowOff>121920</xdr:rowOff>
    </xdr:from>
    <xdr:to>
      <xdr:col>17</xdr:col>
      <xdr:colOff>228600</xdr:colOff>
      <xdr:row>14</xdr:row>
      <xdr:rowOff>28575</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6B394893-D476-4C1E-A585-7C93B1440EC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76300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487680</xdr:colOff>
      <xdr:row>0</xdr:row>
      <xdr:rowOff>137160</xdr:rowOff>
    </xdr:from>
    <xdr:to>
      <xdr:col>20</xdr:col>
      <xdr:colOff>487680</xdr:colOff>
      <xdr:row>14</xdr:row>
      <xdr:rowOff>43815</xdr:rowOff>
    </xdr:to>
    <mc:AlternateContent xmlns:mc="http://schemas.openxmlformats.org/markup-compatibility/2006">
      <mc:Choice xmlns:a14="http://schemas.microsoft.com/office/drawing/2010/main" Requires="a14">
        <xdr:graphicFrame macro="">
          <xdr:nvGraphicFramePr>
            <xdr:cNvPr id="12" name="City 1">
              <a:extLst>
                <a:ext uri="{FF2B5EF4-FFF2-40B4-BE49-F238E27FC236}">
                  <a16:creationId xmlns:a16="http://schemas.microsoft.com/office/drawing/2014/main" id="{6EA299E7-9971-4C16-8E24-D4B7EDE424D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850880" y="13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14</xdr:row>
      <xdr:rowOff>152400</xdr:rowOff>
    </xdr:from>
    <xdr:to>
      <xdr:col>17</xdr:col>
      <xdr:colOff>327660</xdr:colOff>
      <xdr:row>28</xdr:row>
      <xdr:rowOff>59055</xdr:rowOff>
    </xdr:to>
    <mc:AlternateContent xmlns:mc="http://schemas.openxmlformats.org/markup-compatibility/2006">
      <mc:Choice xmlns:a14="http://schemas.microsoft.com/office/drawing/2010/main" Requires="a14">
        <xdr:graphicFrame macro="">
          <xdr:nvGraphicFramePr>
            <xdr:cNvPr id="13" name="Date 1">
              <a:extLst>
                <a:ext uri="{FF2B5EF4-FFF2-40B4-BE49-F238E27FC236}">
                  <a16:creationId xmlns:a16="http://schemas.microsoft.com/office/drawing/2014/main" id="{645A1A61-7171-4F66-BD3E-D6D8E7ACC3E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8862060" y="2712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579120</xdr:colOff>
      <xdr:row>15</xdr:row>
      <xdr:rowOff>38100</xdr:rowOff>
    </xdr:from>
    <xdr:to>
      <xdr:col>21</xdr:col>
      <xdr:colOff>350520</xdr:colOff>
      <xdr:row>20</xdr:row>
      <xdr:rowOff>53340</xdr:rowOff>
    </xdr:to>
    <xdr:sp macro="" textlink="">
      <xdr:nvSpPr>
        <xdr:cNvPr id="14" name="Rectangle 13">
          <a:extLst>
            <a:ext uri="{FF2B5EF4-FFF2-40B4-BE49-F238E27FC236}">
              <a16:creationId xmlns:a16="http://schemas.microsoft.com/office/drawing/2014/main" id="{7A6B1119-957C-EC53-FFDC-5A618E705813}"/>
            </a:ext>
          </a:extLst>
        </xdr:cNvPr>
        <xdr:cNvSpPr/>
      </xdr:nvSpPr>
      <xdr:spPr>
        <a:xfrm>
          <a:off x="10942320" y="2781300"/>
          <a:ext cx="2209800" cy="929640"/>
        </a:xfrm>
        <a:prstGeom prst="rect">
          <a:avLst/>
        </a:prstGeom>
        <a:solidFill>
          <a:schemeClr val="bg2">
            <a:lumMod val="2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175260</xdr:colOff>
      <xdr:row>16</xdr:row>
      <xdr:rowOff>22860</xdr:rowOff>
    </xdr:from>
    <xdr:to>
      <xdr:col>21</xdr:col>
      <xdr:colOff>144780</xdr:colOff>
      <xdr:row>17</xdr:row>
      <xdr:rowOff>160020</xdr:rowOff>
    </xdr:to>
    <xdr:sp macro="" textlink="'line chart'!B15">
      <xdr:nvSpPr>
        <xdr:cNvPr id="15" name="TextBox 14">
          <a:extLst>
            <a:ext uri="{FF2B5EF4-FFF2-40B4-BE49-F238E27FC236}">
              <a16:creationId xmlns:a16="http://schemas.microsoft.com/office/drawing/2014/main" id="{98C62E23-F9AE-29C3-DAAD-E119A1F0AECA}"/>
            </a:ext>
          </a:extLst>
        </xdr:cNvPr>
        <xdr:cNvSpPr txBox="1"/>
      </xdr:nvSpPr>
      <xdr:spPr>
        <a:xfrm>
          <a:off x="11148060" y="2948940"/>
          <a:ext cx="1798320" cy="32004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37F43D-9D96-4C28-8949-A4DDC7E5F3C2}" type="TxLink">
            <a:rPr lang="en-US" sz="1100" b="0" i="0" u="none" strike="noStrike">
              <a:solidFill>
                <a:srgbClr val="000000"/>
              </a:solidFill>
              <a:latin typeface="Calibri"/>
              <a:ea typeface="Calibri"/>
              <a:cs typeface="Calibri"/>
            </a:rPr>
            <a:t>119111</a:t>
          </a:fld>
          <a:endParaRPr lang="en-US" sz="1100" b="0" i="0" u="none" strike="noStrike">
            <a:solidFill>
              <a:srgbClr val="000000"/>
            </a:solidFill>
            <a:latin typeface="Calibri"/>
            <a:ea typeface="Calibri"/>
            <a:cs typeface="Calibri"/>
          </a:endParaRPr>
        </a:p>
        <a:p>
          <a:endParaRPr lang="en-US" sz="11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Total Amount</a:t>
          </a:r>
          <a:endParaRPr lang="en-IN" sz="1100"/>
        </a:p>
      </xdr:txBody>
    </xdr:sp>
    <xdr:clientData/>
  </xdr:twoCellAnchor>
  <xdr:twoCellAnchor>
    <xdr:from>
      <xdr:col>17</xdr:col>
      <xdr:colOff>579120</xdr:colOff>
      <xdr:row>21</xdr:row>
      <xdr:rowOff>22860</xdr:rowOff>
    </xdr:from>
    <xdr:to>
      <xdr:col>21</xdr:col>
      <xdr:colOff>350520</xdr:colOff>
      <xdr:row>26</xdr:row>
      <xdr:rowOff>38100</xdr:rowOff>
    </xdr:to>
    <xdr:sp macro="" textlink="">
      <xdr:nvSpPr>
        <xdr:cNvPr id="16" name="Rectangle 15">
          <a:extLst>
            <a:ext uri="{FF2B5EF4-FFF2-40B4-BE49-F238E27FC236}">
              <a16:creationId xmlns:a16="http://schemas.microsoft.com/office/drawing/2014/main" id="{D077B398-0E93-463C-993E-5E6B6AC08E94}"/>
            </a:ext>
          </a:extLst>
        </xdr:cNvPr>
        <xdr:cNvSpPr/>
      </xdr:nvSpPr>
      <xdr:spPr>
        <a:xfrm>
          <a:off x="10942320" y="3863340"/>
          <a:ext cx="2209800" cy="929640"/>
        </a:xfrm>
        <a:prstGeom prst="rect">
          <a:avLst/>
        </a:prstGeom>
        <a:solidFill>
          <a:schemeClr val="bg2">
            <a:lumMod val="2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152400</xdr:colOff>
      <xdr:row>21</xdr:row>
      <xdr:rowOff>106680</xdr:rowOff>
    </xdr:from>
    <xdr:to>
      <xdr:col>21</xdr:col>
      <xdr:colOff>121920</xdr:colOff>
      <xdr:row>23</xdr:row>
      <xdr:rowOff>60960</xdr:rowOff>
    </xdr:to>
    <xdr:sp macro="" textlink="'clusturd chart'!B12">
      <xdr:nvSpPr>
        <xdr:cNvPr id="17" name="TextBox 16">
          <a:extLst>
            <a:ext uri="{FF2B5EF4-FFF2-40B4-BE49-F238E27FC236}">
              <a16:creationId xmlns:a16="http://schemas.microsoft.com/office/drawing/2014/main" id="{FA8C3372-2B48-4F5F-B6F9-59DDD573FB5D}"/>
            </a:ext>
          </a:extLst>
        </xdr:cNvPr>
        <xdr:cNvSpPr txBox="1"/>
      </xdr:nvSpPr>
      <xdr:spPr>
        <a:xfrm>
          <a:off x="11125200" y="3947160"/>
          <a:ext cx="1798320" cy="32004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CF4A65-7A2C-4AD6-93D0-85F1DDD01855}" type="TxLink">
            <a:rPr lang="en-US" sz="1100" b="0" i="0" u="none" strike="noStrike">
              <a:solidFill>
                <a:srgbClr val="000000"/>
              </a:solidFill>
              <a:latin typeface="Calibri"/>
              <a:ea typeface="Calibri"/>
              <a:cs typeface="Calibri"/>
            </a:rPr>
            <a:t>116</a:t>
          </a:fld>
          <a:endParaRPr lang="en-IN" sz="1100"/>
        </a:p>
      </xdr:txBody>
    </xdr:sp>
    <xdr:clientData/>
  </xdr:twoCellAnchor>
  <xdr:twoCellAnchor>
    <xdr:from>
      <xdr:col>18</xdr:col>
      <xdr:colOff>137160</xdr:colOff>
      <xdr:row>18</xdr:row>
      <xdr:rowOff>53340</xdr:rowOff>
    </xdr:from>
    <xdr:to>
      <xdr:col>21</xdr:col>
      <xdr:colOff>182880</xdr:colOff>
      <xdr:row>19</xdr:row>
      <xdr:rowOff>175260</xdr:rowOff>
    </xdr:to>
    <xdr:sp macro="" textlink="">
      <xdr:nvSpPr>
        <xdr:cNvPr id="18" name="TextBox 17">
          <a:extLst>
            <a:ext uri="{FF2B5EF4-FFF2-40B4-BE49-F238E27FC236}">
              <a16:creationId xmlns:a16="http://schemas.microsoft.com/office/drawing/2014/main" id="{639917C3-63A1-3706-D275-834FD0291CFF}"/>
            </a:ext>
          </a:extLst>
        </xdr:cNvPr>
        <xdr:cNvSpPr txBox="1"/>
      </xdr:nvSpPr>
      <xdr:spPr>
        <a:xfrm>
          <a:off x="11109960" y="3345180"/>
          <a:ext cx="1874520" cy="3048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Arial Black" panose="020B0A04020102020204" pitchFamily="34" charset="0"/>
            </a:rPr>
            <a:t>Total </a:t>
          </a:r>
          <a:r>
            <a:rPr lang="en-US" sz="1600">
              <a:latin typeface="Arial Black" panose="020B0A04020102020204" pitchFamily="34" charset="0"/>
            </a:rPr>
            <a:t>Amount </a:t>
          </a:r>
          <a:endParaRPr lang="en-IN" sz="1600">
            <a:latin typeface="Arial Black" panose="020B0A04020102020204" pitchFamily="34" charset="0"/>
          </a:endParaRPr>
        </a:p>
      </xdr:txBody>
    </xdr:sp>
    <xdr:clientData/>
  </xdr:twoCellAnchor>
  <xdr:twoCellAnchor>
    <xdr:from>
      <xdr:col>18</xdr:col>
      <xdr:colOff>137160</xdr:colOff>
      <xdr:row>24</xdr:row>
      <xdr:rowOff>38100</xdr:rowOff>
    </xdr:from>
    <xdr:to>
      <xdr:col>21</xdr:col>
      <xdr:colOff>205740</xdr:colOff>
      <xdr:row>25</xdr:row>
      <xdr:rowOff>91440</xdr:rowOff>
    </xdr:to>
    <xdr:sp macro="" textlink="">
      <xdr:nvSpPr>
        <xdr:cNvPr id="19" name="TextBox 18">
          <a:extLst>
            <a:ext uri="{FF2B5EF4-FFF2-40B4-BE49-F238E27FC236}">
              <a16:creationId xmlns:a16="http://schemas.microsoft.com/office/drawing/2014/main" id="{B4E6FF53-A1B5-CC11-69B1-A0E35241E16B}"/>
            </a:ext>
          </a:extLst>
        </xdr:cNvPr>
        <xdr:cNvSpPr txBox="1"/>
      </xdr:nvSpPr>
      <xdr:spPr>
        <a:xfrm>
          <a:off x="11109960" y="4427220"/>
          <a:ext cx="1897380" cy="23622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Total </a:t>
          </a:r>
          <a:r>
            <a:rPr lang="en-US" sz="1400">
              <a:latin typeface="Arial Black" panose="020B0A04020102020204" pitchFamily="34" charset="0"/>
            </a:rPr>
            <a:t>quantity </a:t>
          </a:r>
          <a:endParaRPr lang="en-IN" sz="1400">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106.45682835648" createdVersion="8" refreshedVersion="8" minRefreshableVersion="3" recordCount="250" xr:uid="{68AE7D70-4FA5-4D72-9896-950A4E0507E4}">
  <cacheSource type="worksheet">
    <worksheetSource ref="A1:K251" sheet="Dataset"/>
  </cacheSource>
  <cacheFields count="11">
    <cacheField name="Bill No" numFmtId="0">
      <sharedItems containsSemiMixedTypes="0" containsString="0" containsNumber="1" containsInteger="1" minValue="3001" maxValue="3250"/>
    </cacheField>
    <cacheField name="Date" numFmtId="14">
      <sharedItems containsSemiMixedTypes="0" containsNonDate="0" containsDate="1" containsString="0" minDate="2026-03-01T00:00:00" maxDate="2026-03-31T00:00:00"/>
    </cacheField>
    <cacheField name="City" numFmtId="0">
      <sharedItems count="4">
        <s v="Ahmedabad"/>
        <s v="Surat"/>
        <s v="Rajkot"/>
        <s v="Vadodara"/>
      </sharedItems>
    </cacheField>
    <cacheField name="Customer Type" numFmtId="0">
      <sharedItems/>
    </cacheField>
    <cacheField name="Gender"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6" maxValue="300"/>
    </cacheField>
    <cacheField name="Total Amount" numFmtId="0">
      <sharedItems containsSemiMixedTypes="0" containsString="0" containsNumber="1" containsInteger="1" minValue="6" maxValue="3000"/>
    </cacheField>
    <cacheField name="Payment Metho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106.473980092589" createdVersion="8" refreshedVersion="8" minRefreshableVersion="3" recordCount="250" xr:uid="{B617268B-74AA-4EF2-AB20-6F9F65E4D8FC}">
  <cacheSource type="worksheet">
    <worksheetSource ref="B1:K251" sheet="Dataset"/>
  </cacheSource>
  <cacheFields count="10">
    <cacheField name="Date" numFmtId="14">
      <sharedItems containsSemiMixedTypes="0" containsNonDate="0" containsDate="1" containsString="0" minDate="2026-03-01T00:00:00" maxDate="2026-03-31T00:00:00" count="3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sharedItems>
    </cacheField>
    <cacheField name="City" numFmtId="0">
      <sharedItems count="4">
        <s v="Ahmedabad"/>
        <s v="Surat"/>
        <s v="Rajkot"/>
        <s v="Vadodara"/>
      </sharedItems>
    </cacheField>
    <cacheField name="Customer Type" numFmtId="0">
      <sharedItems/>
    </cacheField>
    <cacheField name="Gender" numFmtId="0">
      <sharedItems/>
    </cacheField>
    <cacheField name="Product" numFmtId="0">
      <sharedItems count="16">
        <s v="Bread"/>
        <s v="Cookies"/>
        <s v="Cold Drink"/>
        <s v="Milk"/>
        <s v="Juice"/>
        <s v="Onion"/>
        <s v="Rice"/>
        <s v="Chicken"/>
        <s v="Butter"/>
        <s v="Banana"/>
        <s v="Potato"/>
        <s v="Fish"/>
        <s v="Apple"/>
        <s v="Eggs"/>
        <s v="Tomato"/>
        <s v="Cheese"/>
      </sharedItems>
    </cacheField>
    <cacheField name="Category" numFmtId="0">
      <sharedItems count="7">
        <s v="Bakery"/>
        <s v="Beverages"/>
        <s v="Dairy"/>
        <s v="Vegetables"/>
        <s v="Grocery"/>
        <s v="Meat"/>
        <s v="Fruit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6" maxValue="300"/>
    </cacheField>
    <cacheField name="Total Amount" numFmtId="0">
      <sharedItems containsSemiMixedTypes="0" containsString="0" containsNumber="1" containsInteger="1" minValue="6" maxValue="3000"/>
    </cacheField>
    <cacheField name="Payment Method" numFmtId="0">
      <sharedItems count="3">
        <s v="Card"/>
        <s v="Cash"/>
        <s v="UPI"/>
      </sharedItems>
    </cacheField>
  </cacheFields>
  <extLst>
    <ext xmlns:x14="http://schemas.microsoft.com/office/spreadsheetml/2009/9/main" uri="{725AE2AE-9491-48be-B2B4-4EB974FC3084}">
      <x14:pivotCacheDefinition pivotCacheId="410201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3001"/>
    <d v="2026-03-01T00:00:00"/>
    <x v="0"/>
    <s v="Member"/>
    <s v="Female"/>
    <s v="Bread"/>
    <s v="Bakery"/>
    <n v="9"/>
    <n v="40"/>
    <n v="360"/>
    <s v="Card"/>
  </r>
  <r>
    <n v="3002"/>
    <d v="2026-03-02T00:00:00"/>
    <x v="0"/>
    <s v="Normal"/>
    <s v="Female"/>
    <s v="Cookies"/>
    <s v="Bakery"/>
    <n v="9"/>
    <n v="70"/>
    <n v="630"/>
    <s v="Cash"/>
  </r>
  <r>
    <n v="3003"/>
    <d v="2026-03-03T00:00:00"/>
    <x v="1"/>
    <s v="Normal"/>
    <s v="Female"/>
    <s v="Cold Drink"/>
    <s v="Beverages"/>
    <n v="6"/>
    <n v="50"/>
    <n v="300"/>
    <s v="Cash"/>
  </r>
  <r>
    <n v="3004"/>
    <d v="2026-03-04T00:00:00"/>
    <x v="2"/>
    <s v="Member"/>
    <s v="Female"/>
    <s v="Milk"/>
    <s v="Dairy"/>
    <n v="2"/>
    <n v="50"/>
    <n v="100"/>
    <s v="Card"/>
  </r>
  <r>
    <n v="3005"/>
    <d v="2026-03-05T00:00:00"/>
    <x v="1"/>
    <s v="Normal"/>
    <s v="Female"/>
    <s v="Juice"/>
    <s v="Beverages"/>
    <n v="3"/>
    <n v="90"/>
    <n v="270"/>
    <s v="Card"/>
  </r>
  <r>
    <n v="3006"/>
    <d v="2026-03-06T00:00:00"/>
    <x v="0"/>
    <s v="Normal"/>
    <s v="Female"/>
    <s v="Onion"/>
    <s v="Vegetables"/>
    <n v="8"/>
    <n v="35"/>
    <n v="280"/>
    <s v="UPI"/>
  </r>
  <r>
    <n v="3007"/>
    <d v="2026-03-07T00:00:00"/>
    <x v="0"/>
    <s v="Member"/>
    <s v="Male"/>
    <s v="Rice"/>
    <s v="Grocery"/>
    <n v="4"/>
    <n v="60"/>
    <n v="240"/>
    <s v="Card"/>
  </r>
  <r>
    <n v="3008"/>
    <d v="2026-03-08T00:00:00"/>
    <x v="0"/>
    <s v="Member"/>
    <s v="Female"/>
    <s v="Rice"/>
    <s v="Grocery"/>
    <n v="6"/>
    <n v="60"/>
    <n v="360"/>
    <s v="UPI"/>
  </r>
  <r>
    <n v="3009"/>
    <d v="2026-03-09T00:00:00"/>
    <x v="2"/>
    <s v="Member"/>
    <s v="Male"/>
    <s v="Bread"/>
    <s v="Bakery"/>
    <n v="8"/>
    <n v="40"/>
    <n v="320"/>
    <s v="UPI"/>
  </r>
  <r>
    <n v="3010"/>
    <d v="2026-03-10T00:00:00"/>
    <x v="1"/>
    <s v="Member"/>
    <s v="Female"/>
    <s v="Onion"/>
    <s v="Vegetables"/>
    <n v="3"/>
    <n v="35"/>
    <n v="105"/>
    <s v="UPI"/>
  </r>
  <r>
    <n v="3011"/>
    <d v="2026-03-11T00:00:00"/>
    <x v="3"/>
    <s v="Member"/>
    <s v="Female"/>
    <s v="Chicken"/>
    <s v="Meat"/>
    <n v="6"/>
    <n v="250"/>
    <n v="1500"/>
    <s v="Cash"/>
  </r>
  <r>
    <n v="3012"/>
    <d v="2026-03-12T00:00:00"/>
    <x v="2"/>
    <s v="Normal"/>
    <s v="Male"/>
    <s v="Onion"/>
    <s v="Vegetables"/>
    <n v="8"/>
    <n v="35"/>
    <n v="280"/>
    <s v="Card"/>
  </r>
  <r>
    <n v="3013"/>
    <d v="2026-03-13T00:00:00"/>
    <x v="1"/>
    <s v="Normal"/>
    <s v="Female"/>
    <s v="Milk"/>
    <s v="Dairy"/>
    <n v="10"/>
    <n v="50"/>
    <n v="500"/>
    <s v="UPI"/>
  </r>
  <r>
    <n v="3014"/>
    <d v="2026-03-14T00:00:00"/>
    <x v="2"/>
    <s v="Normal"/>
    <s v="Female"/>
    <s v="Milk"/>
    <s v="Dairy"/>
    <n v="7"/>
    <n v="50"/>
    <n v="350"/>
    <s v="UPI"/>
  </r>
  <r>
    <n v="3015"/>
    <d v="2026-03-15T00:00:00"/>
    <x v="2"/>
    <s v="Member"/>
    <s v="Male"/>
    <s v="Juice"/>
    <s v="Beverages"/>
    <n v="1"/>
    <n v="90"/>
    <n v="90"/>
    <s v="Cash"/>
  </r>
  <r>
    <n v="3016"/>
    <d v="2026-03-16T00:00:00"/>
    <x v="2"/>
    <s v="Member"/>
    <s v="Male"/>
    <s v="Juice"/>
    <s v="Beverages"/>
    <n v="2"/>
    <n v="90"/>
    <n v="180"/>
    <s v="UPI"/>
  </r>
  <r>
    <n v="3017"/>
    <d v="2026-03-17T00:00:00"/>
    <x v="0"/>
    <s v="Member"/>
    <s v="Female"/>
    <s v="Butter"/>
    <s v="Dairy"/>
    <n v="1"/>
    <n v="120"/>
    <n v="120"/>
    <s v="Cash"/>
  </r>
  <r>
    <n v="3018"/>
    <d v="2026-03-18T00:00:00"/>
    <x v="3"/>
    <s v="Member"/>
    <s v="Male"/>
    <s v="Bread"/>
    <s v="Bakery"/>
    <n v="7"/>
    <n v="40"/>
    <n v="280"/>
    <s v="UPI"/>
  </r>
  <r>
    <n v="3019"/>
    <d v="2026-03-19T00:00:00"/>
    <x v="2"/>
    <s v="Normal"/>
    <s v="Female"/>
    <s v="Banana"/>
    <s v="Fruits"/>
    <n v="7"/>
    <n v="30"/>
    <n v="210"/>
    <s v="Cash"/>
  </r>
  <r>
    <n v="3020"/>
    <d v="2026-03-20T00:00:00"/>
    <x v="3"/>
    <s v="Normal"/>
    <s v="Male"/>
    <s v="Chicken"/>
    <s v="Meat"/>
    <n v="7"/>
    <n v="250"/>
    <n v="1750"/>
    <s v="Card"/>
  </r>
  <r>
    <n v="3021"/>
    <d v="2026-03-21T00:00:00"/>
    <x v="0"/>
    <s v="Member"/>
    <s v="Female"/>
    <s v="Potato"/>
    <s v="Vegetables"/>
    <n v="8"/>
    <n v="25"/>
    <n v="200"/>
    <s v="UPI"/>
  </r>
  <r>
    <n v="3022"/>
    <d v="2026-03-22T00:00:00"/>
    <x v="3"/>
    <s v="Member"/>
    <s v="Male"/>
    <s v="Fish"/>
    <s v="Meat"/>
    <n v="9"/>
    <n v="300"/>
    <n v="2700"/>
    <s v="Card"/>
  </r>
  <r>
    <n v="3023"/>
    <d v="2026-03-23T00:00:00"/>
    <x v="2"/>
    <s v="Normal"/>
    <s v="Female"/>
    <s v="Apple"/>
    <s v="Fruits"/>
    <n v="4"/>
    <n v="80"/>
    <n v="320"/>
    <s v="UPI"/>
  </r>
  <r>
    <n v="3024"/>
    <d v="2026-03-24T00:00:00"/>
    <x v="1"/>
    <s v="Member"/>
    <s v="Male"/>
    <s v="Cold Drink"/>
    <s v="Beverages"/>
    <n v="2"/>
    <n v="50"/>
    <n v="100"/>
    <s v="Card"/>
  </r>
  <r>
    <n v="3025"/>
    <d v="2026-03-25T00:00:00"/>
    <x v="2"/>
    <s v="Member"/>
    <s v="Female"/>
    <s v="Banana"/>
    <s v="Fruits"/>
    <n v="6"/>
    <n v="30"/>
    <n v="180"/>
    <s v="Cash"/>
  </r>
  <r>
    <n v="3026"/>
    <d v="2026-03-26T00:00:00"/>
    <x v="2"/>
    <s v="Normal"/>
    <s v="Female"/>
    <s v="Potato"/>
    <s v="Vegetables"/>
    <n v="8"/>
    <n v="25"/>
    <n v="200"/>
    <s v="Card"/>
  </r>
  <r>
    <n v="3027"/>
    <d v="2026-03-27T00:00:00"/>
    <x v="1"/>
    <s v="Member"/>
    <s v="Female"/>
    <s v="Eggs"/>
    <s v="Dairy"/>
    <n v="8"/>
    <n v="6"/>
    <n v="48"/>
    <s v="Card"/>
  </r>
  <r>
    <n v="3028"/>
    <d v="2026-03-28T00:00:00"/>
    <x v="3"/>
    <s v="Normal"/>
    <s v="Male"/>
    <s v="Potato"/>
    <s v="Vegetables"/>
    <n v="5"/>
    <n v="25"/>
    <n v="125"/>
    <s v="UPI"/>
  </r>
  <r>
    <n v="3029"/>
    <d v="2026-03-29T00:00:00"/>
    <x v="3"/>
    <s v="Normal"/>
    <s v="Male"/>
    <s v="Milk"/>
    <s v="Dairy"/>
    <n v="10"/>
    <n v="50"/>
    <n v="500"/>
    <s v="Cash"/>
  </r>
  <r>
    <n v="3030"/>
    <d v="2026-03-30T00:00:00"/>
    <x v="2"/>
    <s v="Normal"/>
    <s v="Female"/>
    <s v="Tomato"/>
    <s v="Vegetables"/>
    <n v="1"/>
    <n v="40"/>
    <n v="40"/>
    <s v="UPI"/>
  </r>
  <r>
    <n v="3031"/>
    <d v="2026-03-01T00:00:00"/>
    <x v="3"/>
    <s v="Normal"/>
    <s v="Male"/>
    <s v="Cookies"/>
    <s v="Bakery"/>
    <n v="1"/>
    <n v="70"/>
    <n v="70"/>
    <s v="UPI"/>
  </r>
  <r>
    <n v="3032"/>
    <d v="2026-03-02T00:00:00"/>
    <x v="2"/>
    <s v="Normal"/>
    <s v="Male"/>
    <s v="Onion"/>
    <s v="Vegetables"/>
    <n v="6"/>
    <n v="35"/>
    <n v="210"/>
    <s v="UPI"/>
  </r>
  <r>
    <n v="3033"/>
    <d v="2026-03-03T00:00:00"/>
    <x v="0"/>
    <s v="Normal"/>
    <s v="Female"/>
    <s v="Bread"/>
    <s v="Bakery"/>
    <n v="4"/>
    <n v="40"/>
    <n v="160"/>
    <s v="UPI"/>
  </r>
  <r>
    <n v="3034"/>
    <d v="2026-03-04T00:00:00"/>
    <x v="1"/>
    <s v="Normal"/>
    <s v="Female"/>
    <s v="Onion"/>
    <s v="Vegetables"/>
    <n v="8"/>
    <n v="35"/>
    <n v="280"/>
    <s v="UPI"/>
  </r>
  <r>
    <n v="3035"/>
    <d v="2026-03-05T00:00:00"/>
    <x v="1"/>
    <s v="Normal"/>
    <s v="Female"/>
    <s v="Fish"/>
    <s v="Meat"/>
    <n v="9"/>
    <n v="300"/>
    <n v="2700"/>
    <s v="UPI"/>
  </r>
  <r>
    <n v="3036"/>
    <d v="2026-03-06T00:00:00"/>
    <x v="1"/>
    <s v="Normal"/>
    <s v="Male"/>
    <s v="Bread"/>
    <s v="Bakery"/>
    <n v="8"/>
    <n v="40"/>
    <n v="320"/>
    <s v="Card"/>
  </r>
  <r>
    <n v="3037"/>
    <d v="2026-03-07T00:00:00"/>
    <x v="2"/>
    <s v="Member"/>
    <s v="Female"/>
    <s v="Cheese"/>
    <s v="Dairy"/>
    <n v="8"/>
    <n v="200"/>
    <n v="1600"/>
    <s v="Card"/>
  </r>
  <r>
    <n v="3038"/>
    <d v="2026-03-08T00:00:00"/>
    <x v="2"/>
    <s v="Member"/>
    <s v="Male"/>
    <s v="Apple"/>
    <s v="Fruits"/>
    <n v="10"/>
    <n v="80"/>
    <n v="800"/>
    <s v="Cash"/>
  </r>
  <r>
    <n v="3039"/>
    <d v="2026-03-09T00:00:00"/>
    <x v="2"/>
    <s v="Normal"/>
    <s v="Male"/>
    <s v="Juice"/>
    <s v="Beverages"/>
    <n v="1"/>
    <n v="90"/>
    <n v="90"/>
    <s v="UPI"/>
  </r>
  <r>
    <n v="3040"/>
    <d v="2026-03-10T00:00:00"/>
    <x v="3"/>
    <s v="Member"/>
    <s v="Female"/>
    <s v="Bread"/>
    <s v="Bakery"/>
    <n v="9"/>
    <n v="40"/>
    <n v="360"/>
    <s v="Card"/>
  </r>
  <r>
    <n v="3041"/>
    <d v="2026-03-11T00:00:00"/>
    <x v="2"/>
    <s v="Normal"/>
    <s v="Female"/>
    <s v="Milk"/>
    <s v="Dairy"/>
    <n v="7"/>
    <n v="50"/>
    <n v="350"/>
    <s v="UPI"/>
  </r>
  <r>
    <n v="3042"/>
    <d v="2026-03-12T00:00:00"/>
    <x v="0"/>
    <s v="Member"/>
    <s v="Male"/>
    <s v="Eggs"/>
    <s v="Dairy"/>
    <n v="10"/>
    <n v="6"/>
    <n v="60"/>
    <s v="Cash"/>
  </r>
  <r>
    <n v="3043"/>
    <d v="2026-03-13T00:00:00"/>
    <x v="3"/>
    <s v="Member"/>
    <s v="Female"/>
    <s v="Juice"/>
    <s v="Beverages"/>
    <n v="3"/>
    <n v="90"/>
    <n v="270"/>
    <s v="Cash"/>
  </r>
  <r>
    <n v="3044"/>
    <d v="2026-03-14T00:00:00"/>
    <x v="3"/>
    <s v="Normal"/>
    <s v="Female"/>
    <s v="Butter"/>
    <s v="Dairy"/>
    <n v="6"/>
    <n v="120"/>
    <n v="720"/>
    <s v="UPI"/>
  </r>
  <r>
    <n v="3045"/>
    <d v="2026-03-15T00:00:00"/>
    <x v="3"/>
    <s v="Normal"/>
    <s v="Female"/>
    <s v="Chicken"/>
    <s v="Meat"/>
    <n v="10"/>
    <n v="250"/>
    <n v="2500"/>
    <s v="UPI"/>
  </r>
  <r>
    <n v="3046"/>
    <d v="2026-03-16T00:00:00"/>
    <x v="2"/>
    <s v="Member"/>
    <s v="Male"/>
    <s v="Apple"/>
    <s v="Fruits"/>
    <n v="2"/>
    <n v="80"/>
    <n v="160"/>
    <s v="Card"/>
  </r>
  <r>
    <n v="3047"/>
    <d v="2026-03-17T00:00:00"/>
    <x v="2"/>
    <s v="Normal"/>
    <s v="Female"/>
    <s v="Tomato"/>
    <s v="Vegetables"/>
    <n v="6"/>
    <n v="40"/>
    <n v="240"/>
    <s v="Cash"/>
  </r>
  <r>
    <n v="3048"/>
    <d v="2026-03-18T00:00:00"/>
    <x v="0"/>
    <s v="Member"/>
    <s v="Female"/>
    <s v="Bread"/>
    <s v="Bakery"/>
    <n v="8"/>
    <n v="40"/>
    <n v="320"/>
    <s v="Card"/>
  </r>
  <r>
    <n v="3049"/>
    <d v="2026-03-19T00:00:00"/>
    <x v="1"/>
    <s v="Normal"/>
    <s v="Male"/>
    <s v="Eggs"/>
    <s v="Dairy"/>
    <n v="7"/>
    <n v="6"/>
    <n v="42"/>
    <s v="Card"/>
  </r>
  <r>
    <n v="3050"/>
    <d v="2026-03-20T00:00:00"/>
    <x v="0"/>
    <s v="Member"/>
    <s v="Male"/>
    <s v="Fish"/>
    <s v="Meat"/>
    <n v="3"/>
    <n v="300"/>
    <n v="900"/>
    <s v="Card"/>
  </r>
  <r>
    <n v="3051"/>
    <d v="2026-03-21T00:00:00"/>
    <x v="1"/>
    <s v="Member"/>
    <s v="Male"/>
    <s v="Bread"/>
    <s v="Bakery"/>
    <n v="5"/>
    <n v="40"/>
    <n v="200"/>
    <s v="Card"/>
  </r>
  <r>
    <n v="3052"/>
    <d v="2026-03-22T00:00:00"/>
    <x v="2"/>
    <s v="Normal"/>
    <s v="Male"/>
    <s v="Rice"/>
    <s v="Grocery"/>
    <n v="3"/>
    <n v="60"/>
    <n v="180"/>
    <s v="UPI"/>
  </r>
  <r>
    <n v="3053"/>
    <d v="2026-03-23T00:00:00"/>
    <x v="0"/>
    <s v="Normal"/>
    <s v="Male"/>
    <s v="Onion"/>
    <s v="Vegetables"/>
    <n v="7"/>
    <n v="35"/>
    <n v="245"/>
    <s v="Cash"/>
  </r>
  <r>
    <n v="3054"/>
    <d v="2026-03-24T00:00:00"/>
    <x v="3"/>
    <s v="Normal"/>
    <s v="Male"/>
    <s v="Tomato"/>
    <s v="Vegetables"/>
    <n v="4"/>
    <n v="40"/>
    <n v="160"/>
    <s v="Card"/>
  </r>
  <r>
    <n v="3055"/>
    <d v="2026-03-25T00:00:00"/>
    <x v="2"/>
    <s v="Member"/>
    <s v="Male"/>
    <s v="Tomato"/>
    <s v="Vegetables"/>
    <n v="4"/>
    <n v="40"/>
    <n v="160"/>
    <s v="UPI"/>
  </r>
  <r>
    <n v="3056"/>
    <d v="2026-03-26T00:00:00"/>
    <x v="1"/>
    <s v="Member"/>
    <s v="Female"/>
    <s v="Rice"/>
    <s v="Grocery"/>
    <n v="10"/>
    <n v="60"/>
    <n v="600"/>
    <s v="UPI"/>
  </r>
  <r>
    <n v="3057"/>
    <d v="2026-03-27T00:00:00"/>
    <x v="3"/>
    <s v="Normal"/>
    <s v="Male"/>
    <s v="Cookies"/>
    <s v="Bakery"/>
    <n v="3"/>
    <n v="70"/>
    <n v="210"/>
    <s v="Cash"/>
  </r>
  <r>
    <n v="3058"/>
    <d v="2026-03-28T00:00:00"/>
    <x v="0"/>
    <s v="Member"/>
    <s v="Female"/>
    <s v="Potato"/>
    <s v="Vegetables"/>
    <n v="4"/>
    <n v="25"/>
    <n v="100"/>
    <s v="UPI"/>
  </r>
  <r>
    <n v="3059"/>
    <d v="2026-03-29T00:00:00"/>
    <x v="0"/>
    <s v="Member"/>
    <s v="Female"/>
    <s v="Bread"/>
    <s v="Bakery"/>
    <n v="7"/>
    <n v="40"/>
    <n v="280"/>
    <s v="UPI"/>
  </r>
  <r>
    <n v="3060"/>
    <d v="2026-03-30T00:00:00"/>
    <x v="3"/>
    <s v="Member"/>
    <s v="Female"/>
    <s v="Milk"/>
    <s v="Dairy"/>
    <n v="8"/>
    <n v="50"/>
    <n v="400"/>
    <s v="Cash"/>
  </r>
  <r>
    <n v="3061"/>
    <d v="2026-03-01T00:00:00"/>
    <x v="2"/>
    <s v="Member"/>
    <s v="Female"/>
    <s v="Cold Drink"/>
    <s v="Beverages"/>
    <n v="4"/>
    <n v="50"/>
    <n v="200"/>
    <s v="UPI"/>
  </r>
  <r>
    <n v="3062"/>
    <d v="2026-03-02T00:00:00"/>
    <x v="3"/>
    <s v="Normal"/>
    <s v="Female"/>
    <s v="Milk"/>
    <s v="Dairy"/>
    <n v="2"/>
    <n v="50"/>
    <n v="100"/>
    <s v="Card"/>
  </r>
  <r>
    <n v="3063"/>
    <d v="2026-03-03T00:00:00"/>
    <x v="1"/>
    <s v="Normal"/>
    <s v="Female"/>
    <s v="Cold Drink"/>
    <s v="Beverages"/>
    <n v="1"/>
    <n v="50"/>
    <n v="50"/>
    <s v="Card"/>
  </r>
  <r>
    <n v="3064"/>
    <d v="2026-03-04T00:00:00"/>
    <x v="3"/>
    <s v="Member"/>
    <s v="Female"/>
    <s v="Chicken"/>
    <s v="Meat"/>
    <n v="10"/>
    <n v="250"/>
    <n v="2500"/>
    <s v="Card"/>
  </r>
  <r>
    <n v="3065"/>
    <d v="2026-03-05T00:00:00"/>
    <x v="3"/>
    <s v="Member"/>
    <s v="Male"/>
    <s v="Onion"/>
    <s v="Vegetables"/>
    <n v="6"/>
    <n v="35"/>
    <n v="210"/>
    <s v="Cash"/>
  </r>
  <r>
    <n v="3066"/>
    <d v="2026-03-06T00:00:00"/>
    <x v="3"/>
    <s v="Normal"/>
    <s v="Male"/>
    <s v="Onion"/>
    <s v="Vegetables"/>
    <n v="6"/>
    <n v="35"/>
    <n v="210"/>
    <s v="UPI"/>
  </r>
  <r>
    <n v="3067"/>
    <d v="2026-03-07T00:00:00"/>
    <x v="3"/>
    <s v="Normal"/>
    <s v="Female"/>
    <s v="Cheese"/>
    <s v="Dairy"/>
    <n v="1"/>
    <n v="200"/>
    <n v="200"/>
    <s v="UPI"/>
  </r>
  <r>
    <n v="3068"/>
    <d v="2026-03-08T00:00:00"/>
    <x v="2"/>
    <s v="Member"/>
    <s v="Male"/>
    <s v="Cold Drink"/>
    <s v="Beverages"/>
    <n v="8"/>
    <n v="50"/>
    <n v="400"/>
    <s v="Card"/>
  </r>
  <r>
    <n v="3069"/>
    <d v="2026-03-09T00:00:00"/>
    <x v="3"/>
    <s v="Normal"/>
    <s v="Male"/>
    <s v="Rice"/>
    <s v="Grocery"/>
    <n v="2"/>
    <n v="60"/>
    <n v="120"/>
    <s v="Cash"/>
  </r>
  <r>
    <n v="3070"/>
    <d v="2026-03-10T00:00:00"/>
    <x v="2"/>
    <s v="Normal"/>
    <s v="Female"/>
    <s v="Rice"/>
    <s v="Grocery"/>
    <n v="1"/>
    <n v="60"/>
    <n v="60"/>
    <s v="Card"/>
  </r>
  <r>
    <n v="3071"/>
    <d v="2026-03-11T00:00:00"/>
    <x v="1"/>
    <s v="Member"/>
    <s v="Female"/>
    <s v="Fish"/>
    <s v="Meat"/>
    <n v="2"/>
    <n v="300"/>
    <n v="600"/>
    <s v="UPI"/>
  </r>
  <r>
    <n v="3072"/>
    <d v="2026-03-12T00:00:00"/>
    <x v="3"/>
    <s v="Member"/>
    <s v="Male"/>
    <s v="Butter"/>
    <s v="Dairy"/>
    <n v="1"/>
    <n v="120"/>
    <n v="120"/>
    <s v="UPI"/>
  </r>
  <r>
    <n v="3073"/>
    <d v="2026-03-13T00:00:00"/>
    <x v="2"/>
    <s v="Normal"/>
    <s v="Female"/>
    <s v="Eggs"/>
    <s v="Dairy"/>
    <n v="9"/>
    <n v="6"/>
    <n v="54"/>
    <s v="Card"/>
  </r>
  <r>
    <n v="3074"/>
    <d v="2026-03-14T00:00:00"/>
    <x v="2"/>
    <s v="Member"/>
    <s v="Male"/>
    <s v="Apple"/>
    <s v="Fruits"/>
    <n v="5"/>
    <n v="80"/>
    <n v="400"/>
    <s v="UPI"/>
  </r>
  <r>
    <n v="3075"/>
    <d v="2026-03-15T00:00:00"/>
    <x v="1"/>
    <s v="Member"/>
    <s v="Female"/>
    <s v="Bread"/>
    <s v="Bakery"/>
    <n v="4"/>
    <n v="40"/>
    <n v="160"/>
    <s v="Card"/>
  </r>
  <r>
    <n v="3076"/>
    <d v="2026-03-16T00:00:00"/>
    <x v="3"/>
    <s v="Member"/>
    <s v="Male"/>
    <s v="Apple"/>
    <s v="Fruits"/>
    <n v="10"/>
    <n v="80"/>
    <n v="800"/>
    <s v="UPI"/>
  </r>
  <r>
    <n v="3077"/>
    <d v="2026-03-17T00:00:00"/>
    <x v="0"/>
    <s v="Member"/>
    <s v="Male"/>
    <s v="Juice"/>
    <s v="Beverages"/>
    <n v="10"/>
    <n v="90"/>
    <n v="900"/>
    <s v="Card"/>
  </r>
  <r>
    <n v="3078"/>
    <d v="2026-03-18T00:00:00"/>
    <x v="0"/>
    <s v="Member"/>
    <s v="Female"/>
    <s v="Eggs"/>
    <s v="Dairy"/>
    <n v="9"/>
    <n v="6"/>
    <n v="54"/>
    <s v="Cash"/>
  </r>
  <r>
    <n v="3079"/>
    <d v="2026-03-19T00:00:00"/>
    <x v="3"/>
    <s v="Normal"/>
    <s v="Male"/>
    <s v="Cookies"/>
    <s v="Bakery"/>
    <n v="2"/>
    <n v="70"/>
    <n v="140"/>
    <s v="Card"/>
  </r>
  <r>
    <n v="3080"/>
    <d v="2026-03-20T00:00:00"/>
    <x v="3"/>
    <s v="Normal"/>
    <s v="Female"/>
    <s v="Butter"/>
    <s v="Dairy"/>
    <n v="4"/>
    <n v="120"/>
    <n v="480"/>
    <s v="UPI"/>
  </r>
  <r>
    <n v="3081"/>
    <d v="2026-03-21T00:00:00"/>
    <x v="3"/>
    <s v="Member"/>
    <s v="Male"/>
    <s v="Onion"/>
    <s v="Vegetables"/>
    <n v="6"/>
    <n v="35"/>
    <n v="210"/>
    <s v="UPI"/>
  </r>
  <r>
    <n v="3082"/>
    <d v="2026-03-22T00:00:00"/>
    <x v="3"/>
    <s v="Normal"/>
    <s v="Female"/>
    <s v="Bread"/>
    <s v="Bakery"/>
    <n v="2"/>
    <n v="40"/>
    <n v="80"/>
    <s v="Cash"/>
  </r>
  <r>
    <n v="3083"/>
    <d v="2026-03-23T00:00:00"/>
    <x v="0"/>
    <s v="Normal"/>
    <s v="Female"/>
    <s v="Rice"/>
    <s v="Grocery"/>
    <n v="10"/>
    <n v="60"/>
    <n v="600"/>
    <s v="UPI"/>
  </r>
  <r>
    <n v="3084"/>
    <d v="2026-03-24T00:00:00"/>
    <x v="1"/>
    <s v="Normal"/>
    <s v="Female"/>
    <s v="Apple"/>
    <s v="Fruits"/>
    <n v="10"/>
    <n v="80"/>
    <n v="800"/>
    <s v="Cash"/>
  </r>
  <r>
    <n v="3085"/>
    <d v="2026-03-25T00:00:00"/>
    <x v="1"/>
    <s v="Normal"/>
    <s v="Male"/>
    <s v="Cold Drink"/>
    <s v="Beverages"/>
    <n v="3"/>
    <n v="50"/>
    <n v="150"/>
    <s v="Card"/>
  </r>
  <r>
    <n v="3086"/>
    <d v="2026-03-26T00:00:00"/>
    <x v="0"/>
    <s v="Member"/>
    <s v="Female"/>
    <s v="Bread"/>
    <s v="Bakery"/>
    <n v="5"/>
    <n v="40"/>
    <n v="200"/>
    <s v="Cash"/>
  </r>
  <r>
    <n v="3087"/>
    <d v="2026-03-27T00:00:00"/>
    <x v="2"/>
    <s v="Member"/>
    <s v="Female"/>
    <s v="Chicken"/>
    <s v="Meat"/>
    <n v="10"/>
    <n v="250"/>
    <n v="2500"/>
    <s v="Cash"/>
  </r>
  <r>
    <n v="3088"/>
    <d v="2026-03-28T00:00:00"/>
    <x v="0"/>
    <s v="Normal"/>
    <s v="Female"/>
    <s v="Rice"/>
    <s v="Grocery"/>
    <n v="5"/>
    <n v="60"/>
    <n v="300"/>
    <s v="UPI"/>
  </r>
  <r>
    <n v="3089"/>
    <d v="2026-03-29T00:00:00"/>
    <x v="1"/>
    <s v="Member"/>
    <s v="Male"/>
    <s v="Potato"/>
    <s v="Vegetables"/>
    <n v="8"/>
    <n v="25"/>
    <n v="200"/>
    <s v="Cash"/>
  </r>
  <r>
    <n v="3090"/>
    <d v="2026-03-30T00:00:00"/>
    <x v="2"/>
    <s v="Normal"/>
    <s v="Male"/>
    <s v="Tomato"/>
    <s v="Vegetables"/>
    <n v="8"/>
    <n v="40"/>
    <n v="320"/>
    <s v="Card"/>
  </r>
  <r>
    <n v="3091"/>
    <d v="2026-03-01T00:00:00"/>
    <x v="2"/>
    <s v="Normal"/>
    <s v="Female"/>
    <s v="Tomato"/>
    <s v="Vegetables"/>
    <n v="8"/>
    <n v="40"/>
    <n v="320"/>
    <s v="Cash"/>
  </r>
  <r>
    <n v="3092"/>
    <d v="2026-03-02T00:00:00"/>
    <x v="1"/>
    <s v="Member"/>
    <s v="Female"/>
    <s v="Milk"/>
    <s v="Dairy"/>
    <n v="6"/>
    <n v="50"/>
    <n v="300"/>
    <s v="Card"/>
  </r>
  <r>
    <n v="3093"/>
    <d v="2026-03-03T00:00:00"/>
    <x v="3"/>
    <s v="Member"/>
    <s v="Female"/>
    <s v="Apple"/>
    <s v="Fruits"/>
    <n v="4"/>
    <n v="80"/>
    <n v="320"/>
    <s v="UPI"/>
  </r>
  <r>
    <n v="3094"/>
    <d v="2026-03-04T00:00:00"/>
    <x v="2"/>
    <s v="Member"/>
    <s v="Female"/>
    <s v="Fish"/>
    <s v="Meat"/>
    <n v="8"/>
    <n v="300"/>
    <n v="2400"/>
    <s v="Cash"/>
  </r>
  <r>
    <n v="3095"/>
    <d v="2026-03-05T00:00:00"/>
    <x v="3"/>
    <s v="Member"/>
    <s v="Female"/>
    <s v="Cold Drink"/>
    <s v="Beverages"/>
    <n v="9"/>
    <n v="50"/>
    <n v="450"/>
    <s v="UPI"/>
  </r>
  <r>
    <n v="3096"/>
    <d v="2026-03-06T00:00:00"/>
    <x v="0"/>
    <s v="Member"/>
    <s v="Female"/>
    <s v="Chicken"/>
    <s v="Meat"/>
    <n v="4"/>
    <n v="250"/>
    <n v="1000"/>
    <s v="UPI"/>
  </r>
  <r>
    <n v="3097"/>
    <d v="2026-03-07T00:00:00"/>
    <x v="2"/>
    <s v="Member"/>
    <s v="Male"/>
    <s v="Apple"/>
    <s v="Fruits"/>
    <n v="2"/>
    <n v="80"/>
    <n v="160"/>
    <s v="Cash"/>
  </r>
  <r>
    <n v="3098"/>
    <d v="2026-03-08T00:00:00"/>
    <x v="2"/>
    <s v="Member"/>
    <s v="Male"/>
    <s v="Potato"/>
    <s v="Vegetables"/>
    <n v="9"/>
    <n v="25"/>
    <n v="225"/>
    <s v="Card"/>
  </r>
  <r>
    <n v="3099"/>
    <d v="2026-03-09T00:00:00"/>
    <x v="3"/>
    <s v="Member"/>
    <s v="Female"/>
    <s v="Cheese"/>
    <s v="Dairy"/>
    <n v="9"/>
    <n v="200"/>
    <n v="1800"/>
    <s v="UPI"/>
  </r>
  <r>
    <n v="3100"/>
    <d v="2026-03-10T00:00:00"/>
    <x v="0"/>
    <s v="Member"/>
    <s v="Male"/>
    <s v="Cookies"/>
    <s v="Bakery"/>
    <n v="9"/>
    <n v="70"/>
    <n v="630"/>
    <s v="Card"/>
  </r>
  <r>
    <n v="3101"/>
    <d v="2026-03-11T00:00:00"/>
    <x v="3"/>
    <s v="Member"/>
    <s v="Male"/>
    <s v="Fish"/>
    <s v="Meat"/>
    <n v="5"/>
    <n v="300"/>
    <n v="1500"/>
    <s v="Cash"/>
  </r>
  <r>
    <n v="3102"/>
    <d v="2026-03-12T00:00:00"/>
    <x v="3"/>
    <s v="Normal"/>
    <s v="Female"/>
    <s v="Eggs"/>
    <s v="Dairy"/>
    <n v="8"/>
    <n v="6"/>
    <n v="48"/>
    <s v="UPI"/>
  </r>
  <r>
    <n v="3103"/>
    <d v="2026-03-13T00:00:00"/>
    <x v="3"/>
    <s v="Normal"/>
    <s v="Female"/>
    <s v="Potato"/>
    <s v="Vegetables"/>
    <n v="1"/>
    <n v="25"/>
    <n v="25"/>
    <s v="UPI"/>
  </r>
  <r>
    <n v="3104"/>
    <d v="2026-03-14T00:00:00"/>
    <x v="2"/>
    <s v="Normal"/>
    <s v="Male"/>
    <s v="Apple"/>
    <s v="Fruits"/>
    <n v="6"/>
    <n v="80"/>
    <n v="480"/>
    <s v="Cash"/>
  </r>
  <r>
    <n v="3105"/>
    <d v="2026-03-15T00:00:00"/>
    <x v="2"/>
    <s v="Normal"/>
    <s v="Male"/>
    <s v="Cheese"/>
    <s v="Dairy"/>
    <n v="10"/>
    <n v="200"/>
    <n v="2000"/>
    <s v="Card"/>
  </r>
  <r>
    <n v="3106"/>
    <d v="2026-03-16T00:00:00"/>
    <x v="3"/>
    <s v="Member"/>
    <s v="Female"/>
    <s v="Tomato"/>
    <s v="Vegetables"/>
    <n v="4"/>
    <n v="40"/>
    <n v="160"/>
    <s v="UPI"/>
  </r>
  <r>
    <n v="3107"/>
    <d v="2026-03-17T00:00:00"/>
    <x v="0"/>
    <s v="Member"/>
    <s v="Female"/>
    <s v="Rice"/>
    <s v="Grocery"/>
    <n v="1"/>
    <n v="60"/>
    <n v="60"/>
    <s v="Card"/>
  </r>
  <r>
    <n v="3108"/>
    <d v="2026-03-18T00:00:00"/>
    <x v="3"/>
    <s v="Normal"/>
    <s v="Female"/>
    <s v="Banana"/>
    <s v="Fruits"/>
    <n v="8"/>
    <n v="30"/>
    <n v="240"/>
    <s v="Cash"/>
  </r>
  <r>
    <n v="3109"/>
    <d v="2026-03-19T00:00:00"/>
    <x v="1"/>
    <s v="Normal"/>
    <s v="Female"/>
    <s v="Milk"/>
    <s v="Dairy"/>
    <n v="10"/>
    <n v="50"/>
    <n v="500"/>
    <s v="UPI"/>
  </r>
  <r>
    <n v="3110"/>
    <d v="2026-03-20T00:00:00"/>
    <x v="0"/>
    <s v="Normal"/>
    <s v="Male"/>
    <s v="Cold Drink"/>
    <s v="Beverages"/>
    <n v="6"/>
    <n v="50"/>
    <n v="300"/>
    <s v="Card"/>
  </r>
  <r>
    <n v="3111"/>
    <d v="2026-03-21T00:00:00"/>
    <x v="3"/>
    <s v="Normal"/>
    <s v="Female"/>
    <s v="Apple"/>
    <s v="Fruits"/>
    <n v="1"/>
    <n v="80"/>
    <n v="80"/>
    <s v="Cash"/>
  </r>
  <r>
    <n v="3112"/>
    <d v="2026-03-22T00:00:00"/>
    <x v="1"/>
    <s v="Normal"/>
    <s v="Male"/>
    <s v="Butter"/>
    <s v="Dairy"/>
    <n v="1"/>
    <n v="120"/>
    <n v="120"/>
    <s v="Cash"/>
  </r>
  <r>
    <n v="3113"/>
    <d v="2026-03-23T00:00:00"/>
    <x v="2"/>
    <s v="Member"/>
    <s v="Male"/>
    <s v="Tomato"/>
    <s v="Vegetables"/>
    <n v="9"/>
    <n v="40"/>
    <n v="360"/>
    <s v="UPI"/>
  </r>
  <r>
    <n v="3114"/>
    <d v="2026-03-24T00:00:00"/>
    <x v="0"/>
    <s v="Member"/>
    <s v="Female"/>
    <s v="Potato"/>
    <s v="Vegetables"/>
    <n v="5"/>
    <n v="25"/>
    <n v="125"/>
    <s v="Card"/>
  </r>
  <r>
    <n v="3115"/>
    <d v="2026-03-25T00:00:00"/>
    <x v="0"/>
    <s v="Member"/>
    <s v="Male"/>
    <s v="Cold Drink"/>
    <s v="Beverages"/>
    <n v="4"/>
    <n v="50"/>
    <n v="200"/>
    <s v="UPI"/>
  </r>
  <r>
    <n v="3116"/>
    <d v="2026-03-26T00:00:00"/>
    <x v="0"/>
    <s v="Normal"/>
    <s v="Male"/>
    <s v="Cold Drink"/>
    <s v="Beverages"/>
    <n v="1"/>
    <n v="50"/>
    <n v="50"/>
    <s v="UPI"/>
  </r>
  <r>
    <n v="3117"/>
    <d v="2026-03-27T00:00:00"/>
    <x v="1"/>
    <s v="Normal"/>
    <s v="Female"/>
    <s v="Rice"/>
    <s v="Grocery"/>
    <n v="7"/>
    <n v="60"/>
    <n v="420"/>
    <s v="Card"/>
  </r>
  <r>
    <n v="3118"/>
    <d v="2026-03-28T00:00:00"/>
    <x v="3"/>
    <s v="Member"/>
    <s v="Male"/>
    <s v="Cold Drink"/>
    <s v="Beverages"/>
    <n v="9"/>
    <n v="50"/>
    <n v="450"/>
    <s v="Cash"/>
  </r>
  <r>
    <n v="3119"/>
    <d v="2026-03-29T00:00:00"/>
    <x v="1"/>
    <s v="Member"/>
    <s v="Male"/>
    <s v="Onion"/>
    <s v="Vegetables"/>
    <n v="5"/>
    <n v="35"/>
    <n v="175"/>
    <s v="Cash"/>
  </r>
  <r>
    <n v="3120"/>
    <d v="2026-03-30T00:00:00"/>
    <x v="3"/>
    <s v="Normal"/>
    <s v="Female"/>
    <s v="Tomato"/>
    <s v="Vegetables"/>
    <n v="10"/>
    <n v="40"/>
    <n v="400"/>
    <s v="Cash"/>
  </r>
  <r>
    <n v="3121"/>
    <d v="2026-03-01T00:00:00"/>
    <x v="0"/>
    <s v="Member"/>
    <s v="Female"/>
    <s v="Onion"/>
    <s v="Vegetables"/>
    <n v="4"/>
    <n v="35"/>
    <n v="140"/>
    <s v="UPI"/>
  </r>
  <r>
    <n v="3122"/>
    <d v="2026-03-02T00:00:00"/>
    <x v="0"/>
    <s v="Normal"/>
    <s v="Female"/>
    <s v="Fish"/>
    <s v="Meat"/>
    <n v="6"/>
    <n v="300"/>
    <n v="1800"/>
    <s v="UPI"/>
  </r>
  <r>
    <n v="3123"/>
    <d v="2026-03-03T00:00:00"/>
    <x v="0"/>
    <s v="Normal"/>
    <s v="Female"/>
    <s v="Apple"/>
    <s v="Fruits"/>
    <n v="10"/>
    <n v="80"/>
    <n v="800"/>
    <s v="Cash"/>
  </r>
  <r>
    <n v="3124"/>
    <d v="2026-03-04T00:00:00"/>
    <x v="2"/>
    <s v="Member"/>
    <s v="Female"/>
    <s v="Potato"/>
    <s v="Vegetables"/>
    <n v="4"/>
    <n v="25"/>
    <n v="100"/>
    <s v="UPI"/>
  </r>
  <r>
    <n v="3125"/>
    <d v="2026-03-05T00:00:00"/>
    <x v="3"/>
    <s v="Normal"/>
    <s v="Female"/>
    <s v="Eggs"/>
    <s v="Dairy"/>
    <n v="5"/>
    <n v="6"/>
    <n v="30"/>
    <s v="UPI"/>
  </r>
  <r>
    <n v="3126"/>
    <d v="2026-03-06T00:00:00"/>
    <x v="3"/>
    <s v="Member"/>
    <s v="Male"/>
    <s v="Milk"/>
    <s v="Dairy"/>
    <n v="4"/>
    <n v="50"/>
    <n v="200"/>
    <s v="UPI"/>
  </r>
  <r>
    <n v="3127"/>
    <d v="2026-03-07T00:00:00"/>
    <x v="3"/>
    <s v="Member"/>
    <s v="Male"/>
    <s v="Chicken"/>
    <s v="Meat"/>
    <n v="1"/>
    <n v="250"/>
    <n v="250"/>
    <s v="Card"/>
  </r>
  <r>
    <n v="3128"/>
    <d v="2026-03-08T00:00:00"/>
    <x v="0"/>
    <s v="Normal"/>
    <s v="Male"/>
    <s v="Butter"/>
    <s v="Dairy"/>
    <n v="3"/>
    <n v="120"/>
    <n v="360"/>
    <s v="Cash"/>
  </r>
  <r>
    <n v="3129"/>
    <d v="2026-03-09T00:00:00"/>
    <x v="3"/>
    <s v="Normal"/>
    <s v="Male"/>
    <s v="Potato"/>
    <s v="Vegetables"/>
    <n v="7"/>
    <n v="25"/>
    <n v="175"/>
    <s v="Cash"/>
  </r>
  <r>
    <n v="3130"/>
    <d v="2026-03-10T00:00:00"/>
    <x v="2"/>
    <s v="Member"/>
    <s v="Male"/>
    <s v="Cheese"/>
    <s v="Dairy"/>
    <n v="9"/>
    <n v="200"/>
    <n v="1800"/>
    <s v="UPI"/>
  </r>
  <r>
    <n v="3131"/>
    <d v="2026-03-11T00:00:00"/>
    <x v="0"/>
    <s v="Member"/>
    <s v="Female"/>
    <s v="Bread"/>
    <s v="Bakery"/>
    <n v="6"/>
    <n v="40"/>
    <n v="240"/>
    <s v="Card"/>
  </r>
  <r>
    <n v="3132"/>
    <d v="2026-03-12T00:00:00"/>
    <x v="3"/>
    <s v="Member"/>
    <s v="Female"/>
    <s v="Juice"/>
    <s v="Beverages"/>
    <n v="6"/>
    <n v="90"/>
    <n v="540"/>
    <s v="Card"/>
  </r>
  <r>
    <n v="3133"/>
    <d v="2026-03-13T00:00:00"/>
    <x v="0"/>
    <s v="Member"/>
    <s v="Male"/>
    <s v="Cold Drink"/>
    <s v="Beverages"/>
    <n v="4"/>
    <n v="50"/>
    <n v="200"/>
    <s v="UPI"/>
  </r>
  <r>
    <n v="3134"/>
    <d v="2026-03-14T00:00:00"/>
    <x v="2"/>
    <s v="Normal"/>
    <s v="Male"/>
    <s v="Eggs"/>
    <s v="Dairy"/>
    <n v="7"/>
    <n v="6"/>
    <n v="42"/>
    <s v="UPI"/>
  </r>
  <r>
    <n v="3135"/>
    <d v="2026-03-15T00:00:00"/>
    <x v="1"/>
    <s v="Normal"/>
    <s v="Female"/>
    <s v="Bread"/>
    <s v="Bakery"/>
    <n v="9"/>
    <n v="40"/>
    <n v="360"/>
    <s v="Card"/>
  </r>
  <r>
    <n v="3136"/>
    <d v="2026-03-16T00:00:00"/>
    <x v="2"/>
    <s v="Member"/>
    <s v="Female"/>
    <s v="Apple"/>
    <s v="Fruits"/>
    <n v="7"/>
    <n v="80"/>
    <n v="560"/>
    <s v="Cash"/>
  </r>
  <r>
    <n v="3137"/>
    <d v="2026-03-17T00:00:00"/>
    <x v="0"/>
    <s v="Member"/>
    <s v="Male"/>
    <s v="Bread"/>
    <s v="Bakery"/>
    <n v="2"/>
    <n v="40"/>
    <n v="80"/>
    <s v="Card"/>
  </r>
  <r>
    <n v="3138"/>
    <d v="2026-03-18T00:00:00"/>
    <x v="0"/>
    <s v="Member"/>
    <s v="Female"/>
    <s v="Milk"/>
    <s v="Dairy"/>
    <n v="9"/>
    <n v="50"/>
    <n v="450"/>
    <s v="Card"/>
  </r>
  <r>
    <n v="3139"/>
    <d v="2026-03-19T00:00:00"/>
    <x v="1"/>
    <s v="Normal"/>
    <s v="Female"/>
    <s v="Eggs"/>
    <s v="Dairy"/>
    <n v="8"/>
    <n v="6"/>
    <n v="48"/>
    <s v="Card"/>
  </r>
  <r>
    <n v="3140"/>
    <d v="2026-03-20T00:00:00"/>
    <x v="1"/>
    <s v="Member"/>
    <s v="Male"/>
    <s v="Cold Drink"/>
    <s v="Beverages"/>
    <n v="9"/>
    <n v="50"/>
    <n v="450"/>
    <s v="Card"/>
  </r>
  <r>
    <n v="3141"/>
    <d v="2026-03-21T00:00:00"/>
    <x v="0"/>
    <s v="Member"/>
    <s v="Female"/>
    <s v="Banana"/>
    <s v="Fruits"/>
    <n v="7"/>
    <n v="30"/>
    <n v="210"/>
    <s v="Card"/>
  </r>
  <r>
    <n v="3142"/>
    <d v="2026-03-22T00:00:00"/>
    <x v="0"/>
    <s v="Member"/>
    <s v="Male"/>
    <s v="Potato"/>
    <s v="Vegetables"/>
    <n v="9"/>
    <n v="25"/>
    <n v="225"/>
    <s v="Card"/>
  </r>
  <r>
    <n v="3143"/>
    <d v="2026-03-23T00:00:00"/>
    <x v="1"/>
    <s v="Normal"/>
    <s v="Male"/>
    <s v="Potato"/>
    <s v="Vegetables"/>
    <n v="1"/>
    <n v="25"/>
    <n v="25"/>
    <s v="Card"/>
  </r>
  <r>
    <n v="3144"/>
    <d v="2026-03-24T00:00:00"/>
    <x v="1"/>
    <s v="Normal"/>
    <s v="Male"/>
    <s v="Banana"/>
    <s v="Fruits"/>
    <n v="3"/>
    <n v="30"/>
    <n v="90"/>
    <s v="Cash"/>
  </r>
  <r>
    <n v="3145"/>
    <d v="2026-03-25T00:00:00"/>
    <x v="1"/>
    <s v="Member"/>
    <s v="Female"/>
    <s v="Banana"/>
    <s v="Fruits"/>
    <n v="9"/>
    <n v="30"/>
    <n v="270"/>
    <s v="Card"/>
  </r>
  <r>
    <n v="3146"/>
    <d v="2026-03-26T00:00:00"/>
    <x v="1"/>
    <s v="Member"/>
    <s v="Female"/>
    <s v="Milk"/>
    <s v="Dairy"/>
    <n v="8"/>
    <n v="50"/>
    <n v="400"/>
    <s v="Cash"/>
  </r>
  <r>
    <n v="3147"/>
    <d v="2026-03-27T00:00:00"/>
    <x v="1"/>
    <s v="Normal"/>
    <s v="Female"/>
    <s v="Rice"/>
    <s v="Grocery"/>
    <n v="4"/>
    <n v="60"/>
    <n v="240"/>
    <s v="Card"/>
  </r>
  <r>
    <n v="3148"/>
    <d v="2026-03-28T00:00:00"/>
    <x v="2"/>
    <s v="Normal"/>
    <s v="Female"/>
    <s v="Apple"/>
    <s v="Fruits"/>
    <n v="7"/>
    <n v="80"/>
    <n v="560"/>
    <s v="Cash"/>
  </r>
  <r>
    <n v="3149"/>
    <d v="2026-03-29T00:00:00"/>
    <x v="3"/>
    <s v="Normal"/>
    <s v="Female"/>
    <s v="Tomato"/>
    <s v="Vegetables"/>
    <n v="10"/>
    <n v="40"/>
    <n v="400"/>
    <s v="Card"/>
  </r>
  <r>
    <n v="3150"/>
    <d v="2026-03-30T00:00:00"/>
    <x v="0"/>
    <s v="Normal"/>
    <s v="Male"/>
    <s v="Onion"/>
    <s v="Vegetables"/>
    <n v="9"/>
    <n v="35"/>
    <n v="315"/>
    <s v="Card"/>
  </r>
  <r>
    <n v="3151"/>
    <d v="2026-03-01T00:00:00"/>
    <x v="1"/>
    <s v="Normal"/>
    <s v="Male"/>
    <s v="Cold Drink"/>
    <s v="Beverages"/>
    <n v="9"/>
    <n v="50"/>
    <n v="450"/>
    <s v="Card"/>
  </r>
  <r>
    <n v="3152"/>
    <d v="2026-03-02T00:00:00"/>
    <x v="0"/>
    <s v="Normal"/>
    <s v="Female"/>
    <s v="Juice"/>
    <s v="Beverages"/>
    <n v="8"/>
    <n v="90"/>
    <n v="720"/>
    <s v="UPI"/>
  </r>
  <r>
    <n v="3153"/>
    <d v="2026-03-03T00:00:00"/>
    <x v="0"/>
    <s v="Member"/>
    <s v="Male"/>
    <s v="Bread"/>
    <s v="Bakery"/>
    <n v="10"/>
    <n v="40"/>
    <n v="400"/>
    <s v="Cash"/>
  </r>
  <r>
    <n v="3154"/>
    <d v="2026-03-04T00:00:00"/>
    <x v="2"/>
    <s v="Member"/>
    <s v="Female"/>
    <s v="Chicken"/>
    <s v="Meat"/>
    <n v="4"/>
    <n v="250"/>
    <n v="1000"/>
    <s v="UPI"/>
  </r>
  <r>
    <n v="3155"/>
    <d v="2026-03-05T00:00:00"/>
    <x v="0"/>
    <s v="Member"/>
    <s v="Male"/>
    <s v="Chicken"/>
    <s v="Meat"/>
    <n v="7"/>
    <n v="250"/>
    <n v="1750"/>
    <s v="Card"/>
  </r>
  <r>
    <n v="3156"/>
    <d v="2026-03-06T00:00:00"/>
    <x v="2"/>
    <s v="Member"/>
    <s v="Male"/>
    <s v="Potato"/>
    <s v="Vegetables"/>
    <n v="7"/>
    <n v="25"/>
    <n v="175"/>
    <s v="Cash"/>
  </r>
  <r>
    <n v="3157"/>
    <d v="2026-03-07T00:00:00"/>
    <x v="1"/>
    <s v="Normal"/>
    <s v="Female"/>
    <s v="Bread"/>
    <s v="Bakery"/>
    <n v="10"/>
    <n v="40"/>
    <n v="400"/>
    <s v="Card"/>
  </r>
  <r>
    <n v="3158"/>
    <d v="2026-03-08T00:00:00"/>
    <x v="2"/>
    <s v="Member"/>
    <s v="Female"/>
    <s v="Apple"/>
    <s v="Fruits"/>
    <n v="6"/>
    <n v="80"/>
    <n v="480"/>
    <s v="UPI"/>
  </r>
  <r>
    <n v="3159"/>
    <d v="2026-03-09T00:00:00"/>
    <x v="3"/>
    <s v="Member"/>
    <s v="Male"/>
    <s v="Banana"/>
    <s v="Fruits"/>
    <n v="9"/>
    <n v="30"/>
    <n v="270"/>
    <s v="UPI"/>
  </r>
  <r>
    <n v="3160"/>
    <d v="2026-03-10T00:00:00"/>
    <x v="3"/>
    <s v="Member"/>
    <s v="Female"/>
    <s v="Juice"/>
    <s v="Beverages"/>
    <n v="9"/>
    <n v="90"/>
    <n v="810"/>
    <s v="UPI"/>
  </r>
  <r>
    <n v="3161"/>
    <d v="2026-03-11T00:00:00"/>
    <x v="3"/>
    <s v="Member"/>
    <s v="Male"/>
    <s v="Tomato"/>
    <s v="Vegetables"/>
    <n v="9"/>
    <n v="40"/>
    <n v="360"/>
    <s v="Cash"/>
  </r>
  <r>
    <n v="3162"/>
    <d v="2026-03-12T00:00:00"/>
    <x v="3"/>
    <s v="Member"/>
    <s v="Female"/>
    <s v="Potato"/>
    <s v="Vegetables"/>
    <n v="10"/>
    <n v="25"/>
    <n v="250"/>
    <s v="Card"/>
  </r>
  <r>
    <n v="3163"/>
    <d v="2026-03-13T00:00:00"/>
    <x v="3"/>
    <s v="Normal"/>
    <s v="Female"/>
    <s v="Juice"/>
    <s v="Beverages"/>
    <n v="7"/>
    <n v="90"/>
    <n v="630"/>
    <s v="UPI"/>
  </r>
  <r>
    <n v="3164"/>
    <d v="2026-03-14T00:00:00"/>
    <x v="1"/>
    <s v="Member"/>
    <s v="Female"/>
    <s v="Cheese"/>
    <s v="Dairy"/>
    <n v="3"/>
    <n v="200"/>
    <n v="600"/>
    <s v="Cash"/>
  </r>
  <r>
    <n v="3165"/>
    <d v="2026-03-15T00:00:00"/>
    <x v="3"/>
    <s v="Normal"/>
    <s v="Male"/>
    <s v="Potato"/>
    <s v="Vegetables"/>
    <n v="1"/>
    <n v="25"/>
    <n v="25"/>
    <s v="UPI"/>
  </r>
  <r>
    <n v="3166"/>
    <d v="2026-03-16T00:00:00"/>
    <x v="2"/>
    <s v="Normal"/>
    <s v="Male"/>
    <s v="Bread"/>
    <s v="Bakery"/>
    <n v="8"/>
    <n v="40"/>
    <n v="320"/>
    <s v="Cash"/>
  </r>
  <r>
    <n v="3167"/>
    <d v="2026-03-17T00:00:00"/>
    <x v="3"/>
    <s v="Normal"/>
    <s v="Female"/>
    <s v="Butter"/>
    <s v="Dairy"/>
    <n v="10"/>
    <n v="120"/>
    <n v="1200"/>
    <s v="Cash"/>
  </r>
  <r>
    <n v="3168"/>
    <d v="2026-03-18T00:00:00"/>
    <x v="0"/>
    <s v="Member"/>
    <s v="Male"/>
    <s v="Bread"/>
    <s v="Bakery"/>
    <n v="9"/>
    <n v="40"/>
    <n v="360"/>
    <s v="Cash"/>
  </r>
  <r>
    <n v="3169"/>
    <d v="2026-03-19T00:00:00"/>
    <x v="2"/>
    <s v="Member"/>
    <s v="Female"/>
    <s v="Rice"/>
    <s v="Grocery"/>
    <n v="7"/>
    <n v="60"/>
    <n v="420"/>
    <s v="UPI"/>
  </r>
  <r>
    <n v="3170"/>
    <d v="2026-03-20T00:00:00"/>
    <x v="2"/>
    <s v="Member"/>
    <s v="Female"/>
    <s v="Chicken"/>
    <s v="Meat"/>
    <n v="1"/>
    <n v="250"/>
    <n v="250"/>
    <s v="Cash"/>
  </r>
  <r>
    <n v="3171"/>
    <d v="2026-03-21T00:00:00"/>
    <x v="1"/>
    <s v="Normal"/>
    <s v="Male"/>
    <s v="Bread"/>
    <s v="Bakery"/>
    <n v="2"/>
    <n v="40"/>
    <n v="80"/>
    <s v="UPI"/>
  </r>
  <r>
    <n v="3172"/>
    <d v="2026-03-22T00:00:00"/>
    <x v="0"/>
    <s v="Normal"/>
    <s v="Male"/>
    <s v="Eggs"/>
    <s v="Dairy"/>
    <n v="3"/>
    <n v="6"/>
    <n v="18"/>
    <s v="Cash"/>
  </r>
  <r>
    <n v="3173"/>
    <d v="2026-03-23T00:00:00"/>
    <x v="2"/>
    <s v="Normal"/>
    <s v="Male"/>
    <s v="Juice"/>
    <s v="Beverages"/>
    <n v="1"/>
    <n v="90"/>
    <n v="90"/>
    <s v="Cash"/>
  </r>
  <r>
    <n v="3174"/>
    <d v="2026-03-24T00:00:00"/>
    <x v="0"/>
    <s v="Member"/>
    <s v="Female"/>
    <s v="Eggs"/>
    <s v="Dairy"/>
    <n v="2"/>
    <n v="6"/>
    <n v="12"/>
    <s v="Card"/>
  </r>
  <r>
    <n v="3175"/>
    <d v="2026-03-25T00:00:00"/>
    <x v="0"/>
    <s v="Member"/>
    <s v="Male"/>
    <s v="Cookies"/>
    <s v="Bakery"/>
    <n v="10"/>
    <n v="70"/>
    <n v="700"/>
    <s v="Cash"/>
  </r>
  <r>
    <n v="3176"/>
    <d v="2026-03-26T00:00:00"/>
    <x v="3"/>
    <s v="Member"/>
    <s v="Male"/>
    <s v="Tomato"/>
    <s v="Vegetables"/>
    <n v="1"/>
    <n v="40"/>
    <n v="40"/>
    <s v="Card"/>
  </r>
  <r>
    <n v="3177"/>
    <d v="2026-03-27T00:00:00"/>
    <x v="3"/>
    <s v="Normal"/>
    <s v="Male"/>
    <s v="Onion"/>
    <s v="Vegetables"/>
    <n v="7"/>
    <n v="35"/>
    <n v="245"/>
    <s v="Card"/>
  </r>
  <r>
    <n v="3178"/>
    <d v="2026-03-28T00:00:00"/>
    <x v="2"/>
    <s v="Normal"/>
    <s v="Female"/>
    <s v="Fish"/>
    <s v="Meat"/>
    <n v="3"/>
    <n v="300"/>
    <n v="900"/>
    <s v="Card"/>
  </r>
  <r>
    <n v="3179"/>
    <d v="2026-03-29T00:00:00"/>
    <x v="3"/>
    <s v="Normal"/>
    <s v="Male"/>
    <s v="Bread"/>
    <s v="Bakery"/>
    <n v="3"/>
    <n v="40"/>
    <n v="120"/>
    <s v="Cash"/>
  </r>
  <r>
    <n v="3180"/>
    <d v="2026-03-30T00:00:00"/>
    <x v="1"/>
    <s v="Member"/>
    <s v="Female"/>
    <s v="Butter"/>
    <s v="Dairy"/>
    <n v="8"/>
    <n v="120"/>
    <n v="960"/>
    <s v="Card"/>
  </r>
  <r>
    <n v="3181"/>
    <d v="2026-03-01T00:00:00"/>
    <x v="0"/>
    <s v="Member"/>
    <s v="Female"/>
    <s v="Apple"/>
    <s v="Fruits"/>
    <n v="9"/>
    <n v="80"/>
    <n v="720"/>
    <s v="Cash"/>
  </r>
  <r>
    <n v="3182"/>
    <d v="2026-03-02T00:00:00"/>
    <x v="0"/>
    <s v="Member"/>
    <s v="Male"/>
    <s v="Butter"/>
    <s v="Dairy"/>
    <n v="7"/>
    <n v="120"/>
    <n v="840"/>
    <s v="UPI"/>
  </r>
  <r>
    <n v="3183"/>
    <d v="2026-03-03T00:00:00"/>
    <x v="0"/>
    <s v="Normal"/>
    <s v="Male"/>
    <s v="Apple"/>
    <s v="Fruits"/>
    <n v="6"/>
    <n v="80"/>
    <n v="480"/>
    <s v="UPI"/>
  </r>
  <r>
    <n v="3184"/>
    <d v="2026-03-04T00:00:00"/>
    <x v="2"/>
    <s v="Member"/>
    <s v="Female"/>
    <s v="Cold Drink"/>
    <s v="Beverages"/>
    <n v="8"/>
    <n v="50"/>
    <n v="400"/>
    <s v="Cash"/>
  </r>
  <r>
    <n v="3185"/>
    <d v="2026-03-05T00:00:00"/>
    <x v="3"/>
    <s v="Member"/>
    <s v="Male"/>
    <s v="Eggs"/>
    <s v="Dairy"/>
    <n v="5"/>
    <n v="6"/>
    <n v="30"/>
    <s v="Card"/>
  </r>
  <r>
    <n v="3186"/>
    <d v="2026-03-06T00:00:00"/>
    <x v="1"/>
    <s v="Normal"/>
    <s v="Female"/>
    <s v="Butter"/>
    <s v="Dairy"/>
    <n v="5"/>
    <n v="120"/>
    <n v="600"/>
    <s v="Cash"/>
  </r>
  <r>
    <n v="3187"/>
    <d v="2026-03-07T00:00:00"/>
    <x v="3"/>
    <s v="Normal"/>
    <s v="Male"/>
    <s v="Juice"/>
    <s v="Beverages"/>
    <n v="3"/>
    <n v="90"/>
    <n v="270"/>
    <s v="Cash"/>
  </r>
  <r>
    <n v="3188"/>
    <d v="2026-03-08T00:00:00"/>
    <x v="2"/>
    <s v="Member"/>
    <s v="Female"/>
    <s v="Bread"/>
    <s v="Bakery"/>
    <n v="3"/>
    <n v="40"/>
    <n v="120"/>
    <s v="UPI"/>
  </r>
  <r>
    <n v="3189"/>
    <d v="2026-03-09T00:00:00"/>
    <x v="2"/>
    <s v="Member"/>
    <s v="Male"/>
    <s v="Potato"/>
    <s v="Vegetables"/>
    <n v="1"/>
    <n v="25"/>
    <n v="25"/>
    <s v="Card"/>
  </r>
  <r>
    <n v="3190"/>
    <d v="2026-03-10T00:00:00"/>
    <x v="1"/>
    <s v="Normal"/>
    <s v="Male"/>
    <s v="Cheese"/>
    <s v="Dairy"/>
    <n v="4"/>
    <n v="200"/>
    <n v="800"/>
    <s v="UPI"/>
  </r>
  <r>
    <n v="3191"/>
    <d v="2026-03-11T00:00:00"/>
    <x v="0"/>
    <s v="Member"/>
    <s v="Female"/>
    <s v="Banana"/>
    <s v="Fruits"/>
    <n v="4"/>
    <n v="30"/>
    <n v="120"/>
    <s v="Card"/>
  </r>
  <r>
    <n v="3192"/>
    <d v="2026-03-12T00:00:00"/>
    <x v="3"/>
    <s v="Member"/>
    <s v="Male"/>
    <s v="Butter"/>
    <s v="Dairy"/>
    <n v="7"/>
    <n v="120"/>
    <n v="840"/>
    <s v="Cash"/>
  </r>
  <r>
    <n v="3193"/>
    <d v="2026-03-13T00:00:00"/>
    <x v="1"/>
    <s v="Member"/>
    <s v="Male"/>
    <s v="Potato"/>
    <s v="Vegetables"/>
    <n v="1"/>
    <n v="25"/>
    <n v="25"/>
    <s v="Cash"/>
  </r>
  <r>
    <n v="3194"/>
    <d v="2026-03-14T00:00:00"/>
    <x v="2"/>
    <s v="Member"/>
    <s v="Male"/>
    <s v="Cookies"/>
    <s v="Bakery"/>
    <n v="3"/>
    <n v="70"/>
    <n v="210"/>
    <s v="UPI"/>
  </r>
  <r>
    <n v="3195"/>
    <d v="2026-03-15T00:00:00"/>
    <x v="2"/>
    <s v="Normal"/>
    <s v="Male"/>
    <s v="Butter"/>
    <s v="Dairy"/>
    <n v="3"/>
    <n v="120"/>
    <n v="360"/>
    <s v="Card"/>
  </r>
  <r>
    <n v="3196"/>
    <d v="2026-03-16T00:00:00"/>
    <x v="0"/>
    <s v="Normal"/>
    <s v="Female"/>
    <s v="Cookies"/>
    <s v="Bakery"/>
    <n v="8"/>
    <n v="70"/>
    <n v="560"/>
    <s v="Cash"/>
  </r>
  <r>
    <n v="3197"/>
    <d v="2026-03-17T00:00:00"/>
    <x v="3"/>
    <s v="Normal"/>
    <s v="Male"/>
    <s v="Juice"/>
    <s v="Beverages"/>
    <n v="4"/>
    <n v="90"/>
    <n v="360"/>
    <s v="Cash"/>
  </r>
  <r>
    <n v="3198"/>
    <d v="2026-03-18T00:00:00"/>
    <x v="1"/>
    <s v="Member"/>
    <s v="Male"/>
    <s v="Chicken"/>
    <s v="Meat"/>
    <n v="2"/>
    <n v="250"/>
    <n v="500"/>
    <s v="UPI"/>
  </r>
  <r>
    <n v="3199"/>
    <d v="2026-03-19T00:00:00"/>
    <x v="0"/>
    <s v="Normal"/>
    <s v="Male"/>
    <s v="Eggs"/>
    <s v="Dairy"/>
    <n v="7"/>
    <n v="6"/>
    <n v="42"/>
    <s v="Card"/>
  </r>
  <r>
    <n v="3200"/>
    <d v="2026-03-20T00:00:00"/>
    <x v="0"/>
    <s v="Normal"/>
    <s v="Female"/>
    <s v="Chicken"/>
    <s v="Meat"/>
    <n v="4"/>
    <n v="250"/>
    <n v="1000"/>
    <s v="UPI"/>
  </r>
  <r>
    <n v="3201"/>
    <d v="2026-03-21T00:00:00"/>
    <x v="1"/>
    <s v="Normal"/>
    <s v="Male"/>
    <s v="Potato"/>
    <s v="Vegetables"/>
    <n v="3"/>
    <n v="25"/>
    <n v="75"/>
    <s v="UPI"/>
  </r>
  <r>
    <n v="3202"/>
    <d v="2026-03-22T00:00:00"/>
    <x v="2"/>
    <s v="Member"/>
    <s v="Male"/>
    <s v="Fish"/>
    <s v="Meat"/>
    <n v="5"/>
    <n v="300"/>
    <n v="1500"/>
    <s v="Cash"/>
  </r>
  <r>
    <n v="3203"/>
    <d v="2026-03-23T00:00:00"/>
    <x v="2"/>
    <s v="Member"/>
    <s v="Female"/>
    <s v="Fish"/>
    <s v="Meat"/>
    <n v="10"/>
    <n v="300"/>
    <n v="3000"/>
    <s v="Cash"/>
  </r>
  <r>
    <n v="3204"/>
    <d v="2026-03-24T00:00:00"/>
    <x v="2"/>
    <s v="Member"/>
    <s v="Male"/>
    <s v="Butter"/>
    <s v="Dairy"/>
    <n v="4"/>
    <n v="120"/>
    <n v="480"/>
    <s v="Cash"/>
  </r>
  <r>
    <n v="3205"/>
    <d v="2026-03-25T00:00:00"/>
    <x v="3"/>
    <s v="Member"/>
    <s v="Male"/>
    <s v="Apple"/>
    <s v="Fruits"/>
    <n v="2"/>
    <n v="80"/>
    <n v="160"/>
    <s v="Cash"/>
  </r>
  <r>
    <n v="3206"/>
    <d v="2026-03-26T00:00:00"/>
    <x v="3"/>
    <s v="Normal"/>
    <s v="Female"/>
    <s v="Fish"/>
    <s v="Meat"/>
    <n v="7"/>
    <n v="300"/>
    <n v="2100"/>
    <s v="Card"/>
  </r>
  <r>
    <n v="3207"/>
    <d v="2026-03-27T00:00:00"/>
    <x v="1"/>
    <s v="Normal"/>
    <s v="Female"/>
    <s v="Milk"/>
    <s v="Dairy"/>
    <n v="4"/>
    <n v="50"/>
    <n v="200"/>
    <s v="Cash"/>
  </r>
  <r>
    <n v="3208"/>
    <d v="2026-03-28T00:00:00"/>
    <x v="1"/>
    <s v="Normal"/>
    <s v="Male"/>
    <s v="Cookies"/>
    <s v="Bakery"/>
    <n v="1"/>
    <n v="70"/>
    <n v="70"/>
    <s v="Cash"/>
  </r>
  <r>
    <n v="3209"/>
    <d v="2026-03-29T00:00:00"/>
    <x v="1"/>
    <s v="Member"/>
    <s v="Male"/>
    <s v="Juice"/>
    <s v="Beverages"/>
    <n v="9"/>
    <n v="90"/>
    <n v="810"/>
    <s v="Card"/>
  </r>
  <r>
    <n v="3210"/>
    <d v="2026-03-30T00:00:00"/>
    <x v="3"/>
    <s v="Member"/>
    <s v="Female"/>
    <s v="Butter"/>
    <s v="Dairy"/>
    <n v="6"/>
    <n v="120"/>
    <n v="720"/>
    <s v="Cash"/>
  </r>
  <r>
    <n v="3211"/>
    <d v="2026-03-01T00:00:00"/>
    <x v="3"/>
    <s v="Normal"/>
    <s v="Female"/>
    <s v="Cheese"/>
    <s v="Dairy"/>
    <n v="10"/>
    <n v="200"/>
    <n v="2000"/>
    <s v="Cash"/>
  </r>
  <r>
    <n v="3212"/>
    <d v="2026-03-02T00:00:00"/>
    <x v="1"/>
    <s v="Normal"/>
    <s v="Female"/>
    <s v="Eggs"/>
    <s v="Dairy"/>
    <n v="6"/>
    <n v="6"/>
    <n v="36"/>
    <s v="UPI"/>
  </r>
  <r>
    <n v="3213"/>
    <d v="2026-03-03T00:00:00"/>
    <x v="1"/>
    <s v="Normal"/>
    <s v="Male"/>
    <s v="Potato"/>
    <s v="Vegetables"/>
    <n v="1"/>
    <n v="25"/>
    <n v="25"/>
    <s v="Cash"/>
  </r>
  <r>
    <n v="3214"/>
    <d v="2026-03-04T00:00:00"/>
    <x v="0"/>
    <s v="Normal"/>
    <s v="Female"/>
    <s v="Juice"/>
    <s v="Beverages"/>
    <n v="6"/>
    <n v="90"/>
    <n v="540"/>
    <s v="UPI"/>
  </r>
  <r>
    <n v="3215"/>
    <d v="2026-03-05T00:00:00"/>
    <x v="2"/>
    <s v="Normal"/>
    <s v="Male"/>
    <s v="Onion"/>
    <s v="Vegetables"/>
    <n v="9"/>
    <n v="35"/>
    <n v="315"/>
    <s v="Card"/>
  </r>
  <r>
    <n v="3216"/>
    <d v="2026-03-06T00:00:00"/>
    <x v="3"/>
    <s v="Member"/>
    <s v="Female"/>
    <s v="Chicken"/>
    <s v="Meat"/>
    <n v="4"/>
    <n v="250"/>
    <n v="1000"/>
    <s v="UPI"/>
  </r>
  <r>
    <n v="3217"/>
    <d v="2026-03-07T00:00:00"/>
    <x v="2"/>
    <s v="Member"/>
    <s v="Female"/>
    <s v="Bread"/>
    <s v="Bakery"/>
    <n v="2"/>
    <n v="40"/>
    <n v="80"/>
    <s v="Card"/>
  </r>
  <r>
    <n v="3218"/>
    <d v="2026-03-08T00:00:00"/>
    <x v="3"/>
    <s v="Member"/>
    <s v="Male"/>
    <s v="Banana"/>
    <s v="Fruits"/>
    <n v="1"/>
    <n v="30"/>
    <n v="30"/>
    <s v="Cash"/>
  </r>
  <r>
    <n v="3219"/>
    <d v="2026-03-09T00:00:00"/>
    <x v="1"/>
    <s v="Member"/>
    <s v="Male"/>
    <s v="Apple"/>
    <s v="Fruits"/>
    <n v="3"/>
    <n v="80"/>
    <n v="240"/>
    <s v="UPI"/>
  </r>
  <r>
    <n v="3220"/>
    <d v="2026-03-10T00:00:00"/>
    <x v="2"/>
    <s v="Normal"/>
    <s v="Male"/>
    <s v="Bread"/>
    <s v="Bakery"/>
    <n v="1"/>
    <n v="40"/>
    <n v="40"/>
    <s v="Card"/>
  </r>
  <r>
    <n v="3221"/>
    <d v="2026-03-11T00:00:00"/>
    <x v="2"/>
    <s v="Normal"/>
    <s v="Male"/>
    <s v="Rice"/>
    <s v="Grocery"/>
    <n v="1"/>
    <n v="60"/>
    <n v="60"/>
    <s v="UPI"/>
  </r>
  <r>
    <n v="3222"/>
    <d v="2026-03-12T00:00:00"/>
    <x v="2"/>
    <s v="Normal"/>
    <s v="Male"/>
    <s v="Onion"/>
    <s v="Vegetables"/>
    <n v="3"/>
    <n v="35"/>
    <n v="105"/>
    <s v="UPI"/>
  </r>
  <r>
    <n v="3223"/>
    <d v="2026-03-13T00:00:00"/>
    <x v="2"/>
    <s v="Member"/>
    <s v="Female"/>
    <s v="Eggs"/>
    <s v="Dairy"/>
    <n v="9"/>
    <n v="6"/>
    <n v="54"/>
    <s v="Card"/>
  </r>
  <r>
    <n v="3224"/>
    <d v="2026-03-14T00:00:00"/>
    <x v="2"/>
    <s v="Member"/>
    <s v="Female"/>
    <s v="Cookies"/>
    <s v="Bakery"/>
    <n v="10"/>
    <n v="70"/>
    <n v="700"/>
    <s v="UPI"/>
  </r>
  <r>
    <n v="3225"/>
    <d v="2026-03-15T00:00:00"/>
    <x v="2"/>
    <s v="Normal"/>
    <s v="Male"/>
    <s v="Onion"/>
    <s v="Vegetables"/>
    <n v="7"/>
    <n v="35"/>
    <n v="245"/>
    <s v="Card"/>
  </r>
  <r>
    <n v="3226"/>
    <d v="2026-03-16T00:00:00"/>
    <x v="0"/>
    <s v="Normal"/>
    <s v="Male"/>
    <s v="Chicken"/>
    <s v="Meat"/>
    <n v="8"/>
    <n v="250"/>
    <n v="2000"/>
    <s v="Cash"/>
  </r>
  <r>
    <n v="3227"/>
    <d v="2026-03-17T00:00:00"/>
    <x v="2"/>
    <s v="Member"/>
    <s v="Male"/>
    <s v="Potato"/>
    <s v="Vegetables"/>
    <n v="8"/>
    <n v="25"/>
    <n v="200"/>
    <s v="UPI"/>
  </r>
  <r>
    <n v="3228"/>
    <d v="2026-03-18T00:00:00"/>
    <x v="0"/>
    <s v="Member"/>
    <s v="Female"/>
    <s v="Potato"/>
    <s v="Vegetables"/>
    <n v="6"/>
    <n v="25"/>
    <n v="150"/>
    <s v="UPI"/>
  </r>
  <r>
    <n v="3229"/>
    <d v="2026-03-19T00:00:00"/>
    <x v="3"/>
    <s v="Member"/>
    <s v="Male"/>
    <s v="Juice"/>
    <s v="Beverages"/>
    <n v="2"/>
    <n v="90"/>
    <n v="180"/>
    <s v="UPI"/>
  </r>
  <r>
    <n v="3230"/>
    <d v="2026-03-20T00:00:00"/>
    <x v="0"/>
    <s v="Normal"/>
    <s v="Male"/>
    <s v="Banana"/>
    <s v="Fruits"/>
    <n v="3"/>
    <n v="30"/>
    <n v="90"/>
    <s v="Cash"/>
  </r>
  <r>
    <n v="3231"/>
    <d v="2026-03-21T00:00:00"/>
    <x v="0"/>
    <s v="Member"/>
    <s v="Female"/>
    <s v="Fish"/>
    <s v="Meat"/>
    <n v="9"/>
    <n v="300"/>
    <n v="2700"/>
    <s v="Card"/>
  </r>
  <r>
    <n v="3232"/>
    <d v="2026-03-22T00:00:00"/>
    <x v="1"/>
    <s v="Normal"/>
    <s v="Male"/>
    <s v="Eggs"/>
    <s v="Dairy"/>
    <n v="2"/>
    <n v="6"/>
    <n v="12"/>
    <s v="Cash"/>
  </r>
  <r>
    <n v="3233"/>
    <d v="2026-03-23T00:00:00"/>
    <x v="3"/>
    <s v="Member"/>
    <s v="Female"/>
    <s v="Butter"/>
    <s v="Dairy"/>
    <n v="7"/>
    <n v="120"/>
    <n v="840"/>
    <s v="Cash"/>
  </r>
  <r>
    <n v="3234"/>
    <d v="2026-03-24T00:00:00"/>
    <x v="2"/>
    <s v="Normal"/>
    <s v="Male"/>
    <s v="Milk"/>
    <s v="Dairy"/>
    <n v="1"/>
    <n v="50"/>
    <n v="50"/>
    <s v="Cash"/>
  </r>
  <r>
    <n v="3235"/>
    <d v="2026-03-25T00:00:00"/>
    <x v="1"/>
    <s v="Member"/>
    <s v="Male"/>
    <s v="Potato"/>
    <s v="Vegetables"/>
    <n v="8"/>
    <n v="25"/>
    <n v="200"/>
    <s v="UPI"/>
  </r>
  <r>
    <n v="3236"/>
    <d v="2026-03-26T00:00:00"/>
    <x v="3"/>
    <s v="Normal"/>
    <s v="Female"/>
    <s v="Tomato"/>
    <s v="Vegetables"/>
    <n v="2"/>
    <n v="40"/>
    <n v="80"/>
    <s v="Cash"/>
  </r>
  <r>
    <n v="3237"/>
    <d v="2026-03-27T00:00:00"/>
    <x v="3"/>
    <s v="Member"/>
    <s v="Female"/>
    <s v="Cold Drink"/>
    <s v="Beverages"/>
    <n v="10"/>
    <n v="50"/>
    <n v="500"/>
    <s v="UPI"/>
  </r>
  <r>
    <n v="3238"/>
    <d v="2026-03-28T00:00:00"/>
    <x v="1"/>
    <s v="Normal"/>
    <s v="Male"/>
    <s v="Milk"/>
    <s v="Dairy"/>
    <n v="10"/>
    <n v="50"/>
    <n v="500"/>
    <s v="Card"/>
  </r>
  <r>
    <n v="3239"/>
    <d v="2026-03-29T00:00:00"/>
    <x v="2"/>
    <s v="Normal"/>
    <s v="Female"/>
    <s v="Eggs"/>
    <s v="Dairy"/>
    <n v="1"/>
    <n v="6"/>
    <n v="6"/>
    <s v="Card"/>
  </r>
  <r>
    <n v="3240"/>
    <d v="2026-03-30T00:00:00"/>
    <x v="0"/>
    <s v="Normal"/>
    <s v="Female"/>
    <s v="Potato"/>
    <s v="Vegetables"/>
    <n v="2"/>
    <n v="25"/>
    <n v="50"/>
    <s v="Cash"/>
  </r>
  <r>
    <n v="3241"/>
    <d v="2026-03-01T00:00:00"/>
    <x v="2"/>
    <s v="Normal"/>
    <s v="Female"/>
    <s v="Chicken"/>
    <s v="Meat"/>
    <n v="6"/>
    <n v="250"/>
    <n v="1500"/>
    <s v="Cash"/>
  </r>
  <r>
    <n v="3242"/>
    <d v="2026-03-02T00:00:00"/>
    <x v="3"/>
    <s v="Normal"/>
    <s v="Male"/>
    <s v="Banana"/>
    <s v="Fruits"/>
    <n v="9"/>
    <n v="30"/>
    <n v="270"/>
    <s v="UPI"/>
  </r>
  <r>
    <n v="3243"/>
    <d v="2026-03-03T00:00:00"/>
    <x v="2"/>
    <s v="Normal"/>
    <s v="Male"/>
    <s v="Chicken"/>
    <s v="Meat"/>
    <n v="10"/>
    <n v="250"/>
    <n v="2500"/>
    <s v="UPI"/>
  </r>
  <r>
    <n v="3244"/>
    <d v="2026-03-04T00:00:00"/>
    <x v="0"/>
    <s v="Normal"/>
    <s v="Female"/>
    <s v="Apple"/>
    <s v="Fruits"/>
    <n v="5"/>
    <n v="80"/>
    <n v="400"/>
    <s v="Cash"/>
  </r>
  <r>
    <n v="3245"/>
    <d v="2026-03-05T00:00:00"/>
    <x v="0"/>
    <s v="Normal"/>
    <s v="Male"/>
    <s v="Milk"/>
    <s v="Dairy"/>
    <n v="10"/>
    <n v="50"/>
    <n v="500"/>
    <s v="UPI"/>
  </r>
  <r>
    <n v="3246"/>
    <d v="2026-03-06T00:00:00"/>
    <x v="0"/>
    <s v="Member"/>
    <s v="Female"/>
    <s v="Eggs"/>
    <s v="Dairy"/>
    <n v="10"/>
    <n v="6"/>
    <n v="60"/>
    <s v="Card"/>
  </r>
  <r>
    <n v="3247"/>
    <d v="2026-03-07T00:00:00"/>
    <x v="2"/>
    <s v="Member"/>
    <s v="Male"/>
    <s v="Apple"/>
    <s v="Fruits"/>
    <n v="2"/>
    <n v="80"/>
    <n v="160"/>
    <s v="UPI"/>
  </r>
  <r>
    <n v="3248"/>
    <d v="2026-03-08T00:00:00"/>
    <x v="1"/>
    <s v="Member"/>
    <s v="Female"/>
    <s v="Fish"/>
    <s v="Meat"/>
    <n v="4"/>
    <n v="300"/>
    <n v="1200"/>
    <s v="Card"/>
  </r>
  <r>
    <n v="3249"/>
    <d v="2026-03-09T00:00:00"/>
    <x v="1"/>
    <s v="Normal"/>
    <s v="Male"/>
    <s v="Bread"/>
    <s v="Bakery"/>
    <n v="6"/>
    <n v="40"/>
    <n v="240"/>
    <s v="UPI"/>
  </r>
  <r>
    <n v="3250"/>
    <d v="2026-03-10T00:00:00"/>
    <x v="0"/>
    <s v="Normal"/>
    <s v="Female"/>
    <s v="Cookies"/>
    <s v="Bakery"/>
    <n v="10"/>
    <n v="70"/>
    <n v="700"/>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Member"/>
    <s v="Female"/>
    <x v="0"/>
    <x v="0"/>
    <n v="9"/>
    <n v="40"/>
    <n v="360"/>
    <x v="0"/>
  </r>
  <r>
    <x v="1"/>
    <x v="0"/>
    <s v="Normal"/>
    <s v="Female"/>
    <x v="1"/>
    <x v="0"/>
    <n v="9"/>
    <n v="70"/>
    <n v="630"/>
    <x v="1"/>
  </r>
  <r>
    <x v="2"/>
    <x v="1"/>
    <s v="Normal"/>
    <s v="Female"/>
    <x v="2"/>
    <x v="1"/>
    <n v="6"/>
    <n v="50"/>
    <n v="300"/>
    <x v="1"/>
  </r>
  <r>
    <x v="3"/>
    <x v="2"/>
    <s v="Member"/>
    <s v="Female"/>
    <x v="3"/>
    <x v="2"/>
    <n v="2"/>
    <n v="50"/>
    <n v="100"/>
    <x v="0"/>
  </r>
  <r>
    <x v="4"/>
    <x v="1"/>
    <s v="Normal"/>
    <s v="Female"/>
    <x v="4"/>
    <x v="1"/>
    <n v="3"/>
    <n v="90"/>
    <n v="270"/>
    <x v="0"/>
  </r>
  <r>
    <x v="5"/>
    <x v="0"/>
    <s v="Normal"/>
    <s v="Female"/>
    <x v="5"/>
    <x v="3"/>
    <n v="8"/>
    <n v="35"/>
    <n v="280"/>
    <x v="2"/>
  </r>
  <r>
    <x v="6"/>
    <x v="0"/>
    <s v="Member"/>
    <s v="Male"/>
    <x v="6"/>
    <x v="4"/>
    <n v="4"/>
    <n v="60"/>
    <n v="240"/>
    <x v="0"/>
  </r>
  <r>
    <x v="7"/>
    <x v="0"/>
    <s v="Member"/>
    <s v="Female"/>
    <x v="6"/>
    <x v="4"/>
    <n v="6"/>
    <n v="60"/>
    <n v="360"/>
    <x v="2"/>
  </r>
  <r>
    <x v="8"/>
    <x v="2"/>
    <s v="Member"/>
    <s v="Male"/>
    <x v="0"/>
    <x v="0"/>
    <n v="8"/>
    <n v="40"/>
    <n v="320"/>
    <x v="2"/>
  </r>
  <r>
    <x v="9"/>
    <x v="1"/>
    <s v="Member"/>
    <s v="Female"/>
    <x v="5"/>
    <x v="3"/>
    <n v="3"/>
    <n v="35"/>
    <n v="105"/>
    <x v="2"/>
  </r>
  <r>
    <x v="10"/>
    <x v="3"/>
    <s v="Member"/>
    <s v="Female"/>
    <x v="7"/>
    <x v="5"/>
    <n v="6"/>
    <n v="250"/>
    <n v="1500"/>
    <x v="1"/>
  </r>
  <r>
    <x v="11"/>
    <x v="2"/>
    <s v="Normal"/>
    <s v="Male"/>
    <x v="5"/>
    <x v="3"/>
    <n v="8"/>
    <n v="35"/>
    <n v="280"/>
    <x v="0"/>
  </r>
  <r>
    <x v="12"/>
    <x v="1"/>
    <s v="Normal"/>
    <s v="Female"/>
    <x v="3"/>
    <x v="2"/>
    <n v="10"/>
    <n v="50"/>
    <n v="500"/>
    <x v="2"/>
  </r>
  <r>
    <x v="13"/>
    <x v="2"/>
    <s v="Normal"/>
    <s v="Female"/>
    <x v="3"/>
    <x v="2"/>
    <n v="7"/>
    <n v="50"/>
    <n v="350"/>
    <x v="2"/>
  </r>
  <r>
    <x v="14"/>
    <x v="2"/>
    <s v="Member"/>
    <s v="Male"/>
    <x v="4"/>
    <x v="1"/>
    <n v="1"/>
    <n v="90"/>
    <n v="90"/>
    <x v="1"/>
  </r>
  <r>
    <x v="15"/>
    <x v="2"/>
    <s v="Member"/>
    <s v="Male"/>
    <x v="4"/>
    <x v="1"/>
    <n v="2"/>
    <n v="90"/>
    <n v="180"/>
    <x v="2"/>
  </r>
  <r>
    <x v="16"/>
    <x v="0"/>
    <s v="Member"/>
    <s v="Female"/>
    <x v="8"/>
    <x v="2"/>
    <n v="1"/>
    <n v="120"/>
    <n v="120"/>
    <x v="1"/>
  </r>
  <r>
    <x v="17"/>
    <x v="3"/>
    <s v="Member"/>
    <s v="Male"/>
    <x v="0"/>
    <x v="0"/>
    <n v="7"/>
    <n v="40"/>
    <n v="280"/>
    <x v="2"/>
  </r>
  <r>
    <x v="18"/>
    <x v="2"/>
    <s v="Normal"/>
    <s v="Female"/>
    <x v="9"/>
    <x v="6"/>
    <n v="7"/>
    <n v="30"/>
    <n v="210"/>
    <x v="1"/>
  </r>
  <r>
    <x v="19"/>
    <x v="3"/>
    <s v="Normal"/>
    <s v="Male"/>
    <x v="7"/>
    <x v="5"/>
    <n v="7"/>
    <n v="250"/>
    <n v="1750"/>
    <x v="0"/>
  </r>
  <r>
    <x v="20"/>
    <x v="0"/>
    <s v="Member"/>
    <s v="Female"/>
    <x v="10"/>
    <x v="3"/>
    <n v="8"/>
    <n v="25"/>
    <n v="200"/>
    <x v="2"/>
  </r>
  <r>
    <x v="21"/>
    <x v="3"/>
    <s v="Member"/>
    <s v="Male"/>
    <x v="11"/>
    <x v="5"/>
    <n v="9"/>
    <n v="300"/>
    <n v="2700"/>
    <x v="0"/>
  </r>
  <r>
    <x v="22"/>
    <x v="2"/>
    <s v="Normal"/>
    <s v="Female"/>
    <x v="12"/>
    <x v="6"/>
    <n v="4"/>
    <n v="80"/>
    <n v="320"/>
    <x v="2"/>
  </r>
  <r>
    <x v="23"/>
    <x v="1"/>
    <s v="Member"/>
    <s v="Male"/>
    <x v="2"/>
    <x v="1"/>
    <n v="2"/>
    <n v="50"/>
    <n v="100"/>
    <x v="0"/>
  </r>
  <r>
    <x v="24"/>
    <x v="2"/>
    <s v="Member"/>
    <s v="Female"/>
    <x v="9"/>
    <x v="6"/>
    <n v="6"/>
    <n v="30"/>
    <n v="180"/>
    <x v="1"/>
  </r>
  <r>
    <x v="25"/>
    <x v="2"/>
    <s v="Normal"/>
    <s v="Female"/>
    <x v="10"/>
    <x v="3"/>
    <n v="8"/>
    <n v="25"/>
    <n v="200"/>
    <x v="0"/>
  </r>
  <r>
    <x v="26"/>
    <x v="1"/>
    <s v="Member"/>
    <s v="Female"/>
    <x v="13"/>
    <x v="2"/>
    <n v="8"/>
    <n v="6"/>
    <n v="48"/>
    <x v="0"/>
  </r>
  <r>
    <x v="27"/>
    <x v="3"/>
    <s v="Normal"/>
    <s v="Male"/>
    <x v="10"/>
    <x v="3"/>
    <n v="5"/>
    <n v="25"/>
    <n v="125"/>
    <x v="2"/>
  </r>
  <r>
    <x v="28"/>
    <x v="3"/>
    <s v="Normal"/>
    <s v="Male"/>
    <x v="3"/>
    <x v="2"/>
    <n v="10"/>
    <n v="50"/>
    <n v="500"/>
    <x v="1"/>
  </r>
  <r>
    <x v="29"/>
    <x v="2"/>
    <s v="Normal"/>
    <s v="Female"/>
    <x v="14"/>
    <x v="3"/>
    <n v="1"/>
    <n v="40"/>
    <n v="40"/>
    <x v="2"/>
  </r>
  <r>
    <x v="0"/>
    <x v="3"/>
    <s v="Normal"/>
    <s v="Male"/>
    <x v="1"/>
    <x v="0"/>
    <n v="1"/>
    <n v="70"/>
    <n v="70"/>
    <x v="2"/>
  </r>
  <r>
    <x v="1"/>
    <x v="2"/>
    <s v="Normal"/>
    <s v="Male"/>
    <x v="5"/>
    <x v="3"/>
    <n v="6"/>
    <n v="35"/>
    <n v="210"/>
    <x v="2"/>
  </r>
  <r>
    <x v="2"/>
    <x v="0"/>
    <s v="Normal"/>
    <s v="Female"/>
    <x v="0"/>
    <x v="0"/>
    <n v="4"/>
    <n v="40"/>
    <n v="160"/>
    <x v="2"/>
  </r>
  <r>
    <x v="3"/>
    <x v="1"/>
    <s v="Normal"/>
    <s v="Female"/>
    <x v="5"/>
    <x v="3"/>
    <n v="8"/>
    <n v="35"/>
    <n v="280"/>
    <x v="2"/>
  </r>
  <r>
    <x v="4"/>
    <x v="1"/>
    <s v="Normal"/>
    <s v="Female"/>
    <x v="11"/>
    <x v="5"/>
    <n v="9"/>
    <n v="300"/>
    <n v="2700"/>
    <x v="2"/>
  </r>
  <r>
    <x v="5"/>
    <x v="1"/>
    <s v="Normal"/>
    <s v="Male"/>
    <x v="0"/>
    <x v="0"/>
    <n v="8"/>
    <n v="40"/>
    <n v="320"/>
    <x v="0"/>
  </r>
  <r>
    <x v="6"/>
    <x v="2"/>
    <s v="Member"/>
    <s v="Female"/>
    <x v="15"/>
    <x v="2"/>
    <n v="8"/>
    <n v="200"/>
    <n v="1600"/>
    <x v="0"/>
  </r>
  <r>
    <x v="7"/>
    <x v="2"/>
    <s v="Member"/>
    <s v="Male"/>
    <x v="12"/>
    <x v="6"/>
    <n v="10"/>
    <n v="80"/>
    <n v="800"/>
    <x v="1"/>
  </r>
  <r>
    <x v="8"/>
    <x v="2"/>
    <s v="Normal"/>
    <s v="Male"/>
    <x v="4"/>
    <x v="1"/>
    <n v="1"/>
    <n v="90"/>
    <n v="90"/>
    <x v="2"/>
  </r>
  <r>
    <x v="9"/>
    <x v="3"/>
    <s v="Member"/>
    <s v="Female"/>
    <x v="0"/>
    <x v="0"/>
    <n v="9"/>
    <n v="40"/>
    <n v="360"/>
    <x v="0"/>
  </r>
  <r>
    <x v="10"/>
    <x v="2"/>
    <s v="Normal"/>
    <s v="Female"/>
    <x v="3"/>
    <x v="2"/>
    <n v="7"/>
    <n v="50"/>
    <n v="350"/>
    <x v="2"/>
  </r>
  <r>
    <x v="11"/>
    <x v="0"/>
    <s v="Member"/>
    <s v="Male"/>
    <x v="13"/>
    <x v="2"/>
    <n v="10"/>
    <n v="6"/>
    <n v="60"/>
    <x v="1"/>
  </r>
  <r>
    <x v="12"/>
    <x v="3"/>
    <s v="Member"/>
    <s v="Female"/>
    <x v="4"/>
    <x v="1"/>
    <n v="3"/>
    <n v="90"/>
    <n v="270"/>
    <x v="1"/>
  </r>
  <r>
    <x v="13"/>
    <x v="3"/>
    <s v="Normal"/>
    <s v="Female"/>
    <x v="8"/>
    <x v="2"/>
    <n v="6"/>
    <n v="120"/>
    <n v="720"/>
    <x v="2"/>
  </r>
  <r>
    <x v="14"/>
    <x v="3"/>
    <s v="Normal"/>
    <s v="Female"/>
    <x v="7"/>
    <x v="5"/>
    <n v="10"/>
    <n v="250"/>
    <n v="2500"/>
    <x v="2"/>
  </r>
  <r>
    <x v="15"/>
    <x v="2"/>
    <s v="Member"/>
    <s v="Male"/>
    <x v="12"/>
    <x v="6"/>
    <n v="2"/>
    <n v="80"/>
    <n v="160"/>
    <x v="0"/>
  </r>
  <r>
    <x v="16"/>
    <x v="2"/>
    <s v="Normal"/>
    <s v="Female"/>
    <x v="14"/>
    <x v="3"/>
    <n v="6"/>
    <n v="40"/>
    <n v="240"/>
    <x v="1"/>
  </r>
  <r>
    <x v="17"/>
    <x v="0"/>
    <s v="Member"/>
    <s v="Female"/>
    <x v="0"/>
    <x v="0"/>
    <n v="8"/>
    <n v="40"/>
    <n v="320"/>
    <x v="0"/>
  </r>
  <r>
    <x v="18"/>
    <x v="1"/>
    <s v="Normal"/>
    <s v="Male"/>
    <x v="13"/>
    <x v="2"/>
    <n v="7"/>
    <n v="6"/>
    <n v="42"/>
    <x v="0"/>
  </r>
  <r>
    <x v="19"/>
    <x v="0"/>
    <s v="Member"/>
    <s v="Male"/>
    <x v="11"/>
    <x v="5"/>
    <n v="3"/>
    <n v="300"/>
    <n v="900"/>
    <x v="0"/>
  </r>
  <r>
    <x v="20"/>
    <x v="1"/>
    <s v="Member"/>
    <s v="Male"/>
    <x v="0"/>
    <x v="0"/>
    <n v="5"/>
    <n v="40"/>
    <n v="200"/>
    <x v="0"/>
  </r>
  <r>
    <x v="21"/>
    <x v="2"/>
    <s v="Normal"/>
    <s v="Male"/>
    <x v="6"/>
    <x v="4"/>
    <n v="3"/>
    <n v="60"/>
    <n v="180"/>
    <x v="2"/>
  </r>
  <r>
    <x v="22"/>
    <x v="0"/>
    <s v="Normal"/>
    <s v="Male"/>
    <x v="5"/>
    <x v="3"/>
    <n v="7"/>
    <n v="35"/>
    <n v="245"/>
    <x v="1"/>
  </r>
  <r>
    <x v="23"/>
    <x v="3"/>
    <s v="Normal"/>
    <s v="Male"/>
    <x v="14"/>
    <x v="3"/>
    <n v="4"/>
    <n v="40"/>
    <n v="160"/>
    <x v="0"/>
  </r>
  <r>
    <x v="24"/>
    <x v="2"/>
    <s v="Member"/>
    <s v="Male"/>
    <x v="14"/>
    <x v="3"/>
    <n v="4"/>
    <n v="40"/>
    <n v="160"/>
    <x v="2"/>
  </r>
  <r>
    <x v="25"/>
    <x v="1"/>
    <s v="Member"/>
    <s v="Female"/>
    <x v="6"/>
    <x v="4"/>
    <n v="10"/>
    <n v="60"/>
    <n v="600"/>
    <x v="2"/>
  </r>
  <r>
    <x v="26"/>
    <x v="3"/>
    <s v="Normal"/>
    <s v="Male"/>
    <x v="1"/>
    <x v="0"/>
    <n v="3"/>
    <n v="70"/>
    <n v="210"/>
    <x v="1"/>
  </r>
  <r>
    <x v="27"/>
    <x v="0"/>
    <s v="Member"/>
    <s v="Female"/>
    <x v="10"/>
    <x v="3"/>
    <n v="4"/>
    <n v="25"/>
    <n v="100"/>
    <x v="2"/>
  </r>
  <r>
    <x v="28"/>
    <x v="0"/>
    <s v="Member"/>
    <s v="Female"/>
    <x v="0"/>
    <x v="0"/>
    <n v="7"/>
    <n v="40"/>
    <n v="280"/>
    <x v="2"/>
  </r>
  <r>
    <x v="29"/>
    <x v="3"/>
    <s v="Member"/>
    <s v="Female"/>
    <x v="3"/>
    <x v="2"/>
    <n v="8"/>
    <n v="50"/>
    <n v="400"/>
    <x v="1"/>
  </r>
  <r>
    <x v="0"/>
    <x v="2"/>
    <s v="Member"/>
    <s v="Female"/>
    <x v="2"/>
    <x v="1"/>
    <n v="4"/>
    <n v="50"/>
    <n v="200"/>
    <x v="2"/>
  </r>
  <r>
    <x v="1"/>
    <x v="3"/>
    <s v="Normal"/>
    <s v="Female"/>
    <x v="3"/>
    <x v="2"/>
    <n v="2"/>
    <n v="50"/>
    <n v="100"/>
    <x v="0"/>
  </r>
  <r>
    <x v="2"/>
    <x v="1"/>
    <s v="Normal"/>
    <s v="Female"/>
    <x v="2"/>
    <x v="1"/>
    <n v="1"/>
    <n v="50"/>
    <n v="50"/>
    <x v="0"/>
  </r>
  <r>
    <x v="3"/>
    <x v="3"/>
    <s v="Member"/>
    <s v="Female"/>
    <x v="7"/>
    <x v="5"/>
    <n v="10"/>
    <n v="250"/>
    <n v="2500"/>
    <x v="0"/>
  </r>
  <r>
    <x v="4"/>
    <x v="3"/>
    <s v="Member"/>
    <s v="Male"/>
    <x v="5"/>
    <x v="3"/>
    <n v="6"/>
    <n v="35"/>
    <n v="210"/>
    <x v="1"/>
  </r>
  <r>
    <x v="5"/>
    <x v="3"/>
    <s v="Normal"/>
    <s v="Male"/>
    <x v="5"/>
    <x v="3"/>
    <n v="6"/>
    <n v="35"/>
    <n v="210"/>
    <x v="2"/>
  </r>
  <r>
    <x v="6"/>
    <x v="3"/>
    <s v="Normal"/>
    <s v="Female"/>
    <x v="15"/>
    <x v="2"/>
    <n v="1"/>
    <n v="200"/>
    <n v="200"/>
    <x v="2"/>
  </r>
  <r>
    <x v="7"/>
    <x v="2"/>
    <s v="Member"/>
    <s v="Male"/>
    <x v="2"/>
    <x v="1"/>
    <n v="8"/>
    <n v="50"/>
    <n v="400"/>
    <x v="0"/>
  </r>
  <r>
    <x v="8"/>
    <x v="3"/>
    <s v="Normal"/>
    <s v="Male"/>
    <x v="6"/>
    <x v="4"/>
    <n v="2"/>
    <n v="60"/>
    <n v="120"/>
    <x v="1"/>
  </r>
  <r>
    <x v="9"/>
    <x v="2"/>
    <s v="Normal"/>
    <s v="Female"/>
    <x v="6"/>
    <x v="4"/>
    <n v="1"/>
    <n v="60"/>
    <n v="60"/>
    <x v="0"/>
  </r>
  <r>
    <x v="10"/>
    <x v="1"/>
    <s v="Member"/>
    <s v="Female"/>
    <x v="11"/>
    <x v="5"/>
    <n v="2"/>
    <n v="300"/>
    <n v="600"/>
    <x v="2"/>
  </r>
  <r>
    <x v="11"/>
    <x v="3"/>
    <s v="Member"/>
    <s v="Male"/>
    <x v="8"/>
    <x v="2"/>
    <n v="1"/>
    <n v="120"/>
    <n v="120"/>
    <x v="2"/>
  </r>
  <r>
    <x v="12"/>
    <x v="2"/>
    <s v="Normal"/>
    <s v="Female"/>
    <x v="13"/>
    <x v="2"/>
    <n v="9"/>
    <n v="6"/>
    <n v="54"/>
    <x v="0"/>
  </r>
  <r>
    <x v="13"/>
    <x v="2"/>
    <s v="Member"/>
    <s v="Male"/>
    <x v="12"/>
    <x v="6"/>
    <n v="5"/>
    <n v="80"/>
    <n v="400"/>
    <x v="2"/>
  </r>
  <r>
    <x v="14"/>
    <x v="1"/>
    <s v="Member"/>
    <s v="Female"/>
    <x v="0"/>
    <x v="0"/>
    <n v="4"/>
    <n v="40"/>
    <n v="160"/>
    <x v="0"/>
  </r>
  <r>
    <x v="15"/>
    <x v="3"/>
    <s v="Member"/>
    <s v="Male"/>
    <x v="12"/>
    <x v="6"/>
    <n v="10"/>
    <n v="80"/>
    <n v="800"/>
    <x v="2"/>
  </r>
  <r>
    <x v="16"/>
    <x v="0"/>
    <s v="Member"/>
    <s v="Male"/>
    <x v="4"/>
    <x v="1"/>
    <n v="10"/>
    <n v="90"/>
    <n v="900"/>
    <x v="0"/>
  </r>
  <r>
    <x v="17"/>
    <x v="0"/>
    <s v="Member"/>
    <s v="Female"/>
    <x v="13"/>
    <x v="2"/>
    <n v="9"/>
    <n v="6"/>
    <n v="54"/>
    <x v="1"/>
  </r>
  <r>
    <x v="18"/>
    <x v="3"/>
    <s v="Normal"/>
    <s v="Male"/>
    <x v="1"/>
    <x v="0"/>
    <n v="2"/>
    <n v="70"/>
    <n v="140"/>
    <x v="0"/>
  </r>
  <r>
    <x v="19"/>
    <x v="3"/>
    <s v="Normal"/>
    <s v="Female"/>
    <x v="8"/>
    <x v="2"/>
    <n v="4"/>
    <n v="120"/>
    <n v="480"/>
    <x v="2"/>
  </r>
  <r>
    <x v="20"/>
    <x v="3"/>
    <s v="Member"/>
    <s v="Male"/>
    <x v="5"/>
    <x v="3"/>
    <n v="6"/>
    <n v="35"/>
    <n v="210"/>
    <x v="2"/>
  </r>
  <r>
    <x v="21"/>
    <x v="3"/>
    <s v="Normal"/>
    <s v="Female"/>
    <x v="0"/>
    <x v="0"/>
    <n v="2"/>
    <n v="40"/>
    <n v="80"/>
    <x v="1"/>
  </r>
  <r>
    <x v="22"/>
    <x v="0"/>
    <s v="Normal"/>
    <s v="Female"/>
    <x v="6"/>
    <x v="4"/>
    <n v="10"/>
    <n v="60"/>
    <n v="600"/>
    <x v="2"/>
  </r>
  <r>
    <x v="23"/>
    <x v="1"/>
    <s v="Normal"/>
    <s v="Female"/>
    <x v="12"/>
    <x v="6"/>
    <n v="10"/>
    <n v="80"/>
    <n v="800"/>
    <x v="1"/>
  </r>
  <r>
    <x v="24"/>
    <x v="1"/>
    <s v="Normal"/>
    <s v="Male"/>
    <x v="2"/>
    <x v="1"/>
    <n v="3"/>
    <n v="50"/>
    <n v="150"/>
    <x v="0"/>
  </r>
  <r>
    <x v="25"/>
    <x v="0"/>
    <s v="Member"/>
    <s v="Female"/>
    <x v="0"/>
    <x v="0"/>
    <n v="5"/>
    <n v="40"/>
    <n v="200"/>
    <x v="1"/>
  </r>
  <r>
    <x v="26"/>
    <x v="2"/>
    <s v="Member"/>
    <s v="Female"/>
    <x v="7"/>
    <x v="5"/>
    <n v="10"/>
    <n v="250"/>
    <n v="2500"/>
    <x v="1"/>
  </r>
  <r>
    <x v="27"/>
    <x v="0"/>
    <s v="Normal"/>
    <s v="Female"/>
    <x v="6"/>
    <x v="4"/>
    <n v="5"/>
    <n v="60"/>
    <n v="300"/>
    <x v="2"/>
  </r>
  <r>
    <x v="28"/>
    <x v="1"/>
    <s v="Member"/>
    <s v="Male"/>
    <x v="10"/>
    <x v="3"/>
    <n v="8"/>
    <n v="25"/>
    <n v="200"/>
    <x v="1"/>
  </r>
  <r>
    <x v="29"/>
    <x v="2"/>
    <s v="Normal"/>
    <s v="Male"/>
    <x v="14"/>
    <x v="3"/>
    <n v="8"/>
    <n v="40"/>
    <n v="320"/>
    <x v="0"/>
  </r>
  <r>
    <x v="0"/>
    <x v="2"/>
    <s v="Normal"/>
    <s v="Female"/>
    <x v="14"/>
    <x v="3"/>
    <n v="8"/>
    <n v="40"/>
    <n v="320"/>
    <x v="1"/>
  </r>
  <r>
    <x v="1"/>
    <x v="1"/>
    <s v="Member"/>
    <s v="Female"/>
    <x v="3"/>
    <x v="2"/>
    <n v="6"/>
    <n v="50"/>
    <n v="300"/>
    <x v="0"/>
  </r>
  <r>
    <x v="2"/>
    <x v="3"/>
    <s v="Member"/>
    <s v="Female"/>
    <x v="12"/>
    <x v="6"/>
    <n v="4"/>
    <n v="80"/>
    <n v="320"/>
    <x v="2"/>
  </r>
  <r>
    <x v="3"/>
    <x v="2"/>
    <s v="Member"/>
    <s v="Female"/>
    <x v="11"/>
    <x v="5"/>
    <n v="8"/>
    <n v="300"/>
    <n v="2400"/>
    <x v="1"/>
  </r>
  <r>
    <x v="4"/>
    <x v="3"/>
    <s v="Member"/>
    <s v="Female"/>
    <x v="2"/>
    <x v="1"/>
    <n v="9"/>
    <n v="50"/>
    <n v="450"/>
    <x v="2"/>
  </r>
  <r>
    <x v="5"/>
    <x v="0"/>
    <s v="Member"/>
    <s v="Female"/>
    <x v="7"/>
    <x v="5"/>
    <n v="4"/>
    <n v="250"/>
    <n v="1000"/>
    <x v="2"/>
  </r>
  <r>
    <x v="6"/>
    <x v="2"/>
    <s v="Member"/>
    <s v="Male"/>
    <x v="12"/>
    <x v="6"/>
    <n v="2"/>
    <n v="80"/>
    <n v="160"/>
    <x v="1"/>
  </r>
  <r>
    <x v="7"/>
    <x v="2"/>
    <s v="Member"/>
    <s v="Male"/>
    <x v="10"/>
    <x v="3"/>
    <n v="9"/>
    <n v="25"/>
    <n v="225"/>
    <x v="0"/>
  </r>
  <r>
    <x v="8"/>
    <x v="3"/>
    <s v="Member"/>
    <s v="Female"/>
    <x v="15"/>
    <x v="2"/>
    <n v="9"/>
    <n v="200"/>
    <n v="1800"/>
    <x v="2"/>
  </r>
  <r>
    <x v="9"/>
    <x v="0"/>
    <s v="Member"/>
    <s v="Male"/>
    <x v="1"/>
    <x v="0"/>
    <n v="9"/>
    <n v="70"/>
    <n v="630"/>
    <x v="0"/>
  </r>
  <r>
    <x v="10"/>
    <x v="3"/>
    <s v="Member"/>
    <s v="Male"/>
    <x v="11"/>
    <x v="5"/>
    <n v="5"/>
    <n v="300"/>
    <n v="1500"/>
    <x v="1"/>
  </r>
  <r>
    <x v="11"/>
    <x v="3"/>
    <s v="Normal"/>
    <s v="Female"/>
    <x v="13"/>
    <x v="2"/>
    <n v="8"/>
    <n v="6"/>
    <n v="48"/>
    <x v="2"/>
  </r>
  <r>
    <x v="12"/>
    <x v="3"/>
    <s v="Normal"/>
    <s v="Female"/>
    <x v="10"/>
    <x v="3"/>
    <n v="1"/>
    <n v="25"/>
    <n v="25"/>
    <x v="2"/>
  </r>
  <r>
    <x v="13"/>
    <x v="2"/>
    <s v="Normal"/>
    <s v="Male"/>
    <x v="12"/>
    <x v="6"/>
    <n v="6"/>
    <n v="80"/>
    <n v="480"/>
    <x v="1"/>
  </r>
  <r>
    <x v="14"/>
    <x v="2"/>
    <s v="Normal"/>
    <s v="Male"/>
    <x v="15"/>
    <x v="2"/>
    <n v="10"/>
    <n v="200"/>
    <n v="2000"/>
    <x v="0"/>
  </r>
  <r>
    <x v="15"/>
    <x v="3"/>
    <s v="Member"/>
    <s v="Female"/>
    <x v="14"/>
    <x v="3"/>
    <n v="4"/>
    <n v="40"/>
    <n v="160"/>
    <x v="2"/>
  </r>
  <r>
    <x v="16"/>
    <x v="0"/>
    <s v="Member"/>
    <s v="Female"/>
    <x v="6"/>
    <x v="4"/>
    <n v="1"/>
    <n v="60"/>
    <n v="60"/>
    <x v="0"/>
  </r>
  <r>
    <x v="17"/>
    <x v="3"/>
    <s v="Normal"/>
    <s v="Female"/>
    <x v="9"/>
    <x v="6"/>
    <n v="8"/>
    <n v="30"/>
    <n v="240"/>
    <x v="1"/>
  </r>
  <r>
    <x v="18"/>
    <x v="1"/>
    <s v="Normal"/>
    <s v="Female"/>
    <x v="3"/>
    <x v="2"/>
    <n v="10"/>
    <n v="50"/>
    <n v="500"/>
    <x v="2"/>
  </r>
  <r>
    <x v="19"/>
    <x v="0"/>
    <s v="Normal"/>
    <s v="Male"/>
    <x v="2"/>
    <x v="1"/>
    <n v="6"/>
    <n v="50"/>
    <n v="300"/>
    <x v="0"/>
  </r>
  <r>
    <x v="20"/>
    <x v="3"/>
    <s v="Normal"/>
    <s v="Female"/>
    <x v="12"/>
    <x v="6"/>
    <n v="1"/>
    <n v="80"/>
    <n v="80"/>
    <x v="1"/>
  </r>
  <r>
    <x v="21"/>
    <x v="1"/>
    <s v="Normal"/>
    <s v="Male"/>
    <x v="8"/>
    <x v="2"/>
    <n v="1"/>
    <n v="120"/>
    <n v="120"/>
    <x v="1"/>
  </r>
  <r>
    <x v="22"/>
    <x v="2"/>
    <s v="Member"/>
    <s v="Male"/>
    <x v="14"/>
    <x v="3"/>
    <n v="9"/>
    <n v="40"/>
    <n v="360"/>
    <x v="2"/>
  </r>
  <r>
    <x v="23"/>
    <x v="0"/>
    <s v="Member"/>
    <s v="Female"/>
    <x v="10"/>
    <x v="3"/>
    <n v="5"/>
    <n v="25"/>
    <n v="125"/>
    <x v="0"/>
  </r>
  <r>
    <x v="24"/>
    <x v="0"/>
    <s v="Member"/>
    <s v="Male"/>
    <x v="2"/>
    <x v="1"/>
    <n v="4"/>
    <n v="50"/>
    <n v="200"/>
    <x v="2"/>
  </r>
  <r>
    <x v="25"/>
    <x v="0"/>
    <s v="Normal"/>
    <s v="Male"/>
    <x v="2"/>
    <x v="1"/>
    <n v="1"/>
    <n v="50"/>
    <n v="50"/>
    <x v="2"/>
  </r>
  <r>
    <x v="26"/>
    <x v="1"/>
    <s v="Normal"/>
    <s v="Female"/>
    <x v="6"/>
    <x v="4"/>
    <n v="7"/>
    <n v="60"/>
    <n v="420"/>
    <x v="0"/>
  </r>
  <r>
    <x v="27"/>
    <x v="3"/>
    <s v="Member"/>
    <s v="Male"/>
    <x v="2"/>
    <x v="1"/>
    <n v="9"/>
    <n v="50"/>
    <n v="450"/>
    <x v="1"/>
  </r>
  <r>
    <x v="28"/>
    <x v="1"/>
    <s v="Member"/>
    <s v="Male"/>
    <x v="5"/>
    <x v="3"/>
    <n v="5"/>
    <n v="35"/>
    <n v="175"/>
    <x v="1"/>
  </r>
  <r>
    <x v="29"/>
    <x v="3"/>
    <s v="Normal"/>
    <s v="Female"/>
    <x v="14"/>
    <x v="3"/>
    <n v="10"/>
    <n v="40"/>
    <n v="400"/>
    <x v="1"/>
  </r>
  <r>
    <x v="0"/>
    <x v="0"/>
    <s v="Member"/>
    <s v="Female"/>
    <x v="5"/>
    <x v="3"/>
    <n v="4"/>
    <n v="35"/>
    <n v="140"/>
    <x v="2"/>
  </r>
  <r>
    <x v="1"/>
    <x v="0"/>
    <s v="Normal"/>
    <s v="Female"/>
    <x v="11"/>
    <x v="5"/>
    <n v="6"/>
    <n v="300"/>
    <n v="1800"/>
    <x v="2"/>
  </r>
  <r>
    <x v="2"/>
    <x v="0"/>
    <s v="Normal"/>
    <s v="Female"/>
    <x v="12"/>
    <x v="6"/>
    <n v="10"/>
    <n v="80"/>
    <n v="800"/>
    <x v="1"/>
  </r>
  <r>
    <x v="3"/>
    <x v="2"/>
    <s v="Member"/>
    <s v="Female"/>
    <x v="10"/>
    <x v="3"/>
    <n v="4"/>
    <n v="25"/>
    <n v="100"/>
    <x v="2"/>
  </r>
  <r>
    <x v="4"/>
    <x v="3"/>
    <s v="Normal"/>
    <s v="Female"/>
    <x v="13"/>
    <x v="2"/>
    <n v="5"/>
    <n v="6"/>
    <n v="30"/>
    <x v="2"/>
  </r>
  <r>
    <x v="5"/>
    <x v="3"/>
    <s v="Member"/>
    <s v="Male"/>
    <x v="3"/>
    <x v="2"/>
    <n v="4"/>
    <n v="50"/>
    <n v="200"/>
    <x v="2"/>
  </r>
  <r>
    <x v="6"/>
    <x v="3"/>
    <s v="Member"/>
    <s v="Male"/>
    <x v="7"/>
    <x v="5"/>
    <n v="1"/>
    <n v="250"/>
    <n v="250"/>
    <x v="0"/>
  </r>
  <r>
    <x v="7"/>
    <x v="0"/>
    <s v="Normal"/>
    <s v="Male"/>
    <x v="8"/>
    <x v="2"/>
    <n v="3"/>
    <n v="120"/>
    <n v="360"/>
    <x v="1"/>
  </r>
  <r>
    <x v="8"/>
    <x v="3"/>
    <s v="Normal"/>
    <s v="Male"/>
    <x v="10"/>
    <x v="3"/>
    <n v="7"/>
    <n v="25"/>
    <n v="175"/>
    <x v="1"/>
  </r>
  <r>
    <x v="9"/>
    <x v="2"/>
    <s v="Member"/>
    <s v="Male"/>
    <x v="15"/>
    <x v="2"/>
    <n v="9"/>
    <n v="200"/>
    <n v="1800"/>
    <x v="2"/>
  </r>
  <r>
    <x v="10"/>
    <x v="0"/>
    <s v="Member"/>
    <s v="Female"/>
    <x v="0"/>
    <x v="0"/>
    <n v="6"/>
    <n v="40"/>
    <n v="240"/>
    <x v="0"/>
  </r>
  <r>
    <x v="11"/>
    <x v="3"/>
    <s v="Member"/>
    <s v="Female"/>
    <x v="4"/>
    <x v="1"/>
    <n v="6"/>
    <n v="90"/>
    <n v="540"/>
    <x v="0"/>
  </r>
  <r>
    <x v="12"/>
    <x v="0"/>
    <s v="Member"/>
    <s v="Male"/>
    <x v="2"/>
    <x v="1"/>
    <n v="4"/>
    <n v="50"/>
    <n v="200"/>
    <x v="2"/>
  </r>
  <r>
    <x v="13"/>
    <x v="2"/>
    <s v="Normal"/>
    <s v="Male"/>
    <x v="13"/>
    <x v="2"/>
    <n v="7"/>
    <n v="6"/>
    <n v="42"/>
    <x v="2"/>
  </r>
  <r>
    <x v="14"/>
    <x v="1"/>
    <s v="Normal"/>
    <s v="Female"/>
    <x v="0"/>
    <x v="0"/>
    <n v="9"/>
    <n v="40"/>
    <n v="360"/>
    <x v="0"/>
  </r>
  <r>
    <x v="15"/>
    <x v="2"/>
    <s v="Member"/>
    <s v="Female"/>
    <x v="12"/>
    <x v="6"/>
    <n v="7"/>
    <n v="80"/>
    <n v="560"/>
    <x v="1"/>
  </r>
  <r>
    <x v="16"/>
    <x v="0"/>
    <s v="Member"/>
    <s v="Male"/>
    <x v="0"/>
    <x v="0"/>
    <n v="2"/>
    <n v="40"/>
    <n v="80"/>
    <x v="0"/>
  </r>
  <r>
    <x v="17"/>
    <x v="0"/>
    <s v="Member"/>
    <s v="Female"/>
    <x v="3"/>
    <x v="2"/>
    <n v="9"/>
    <n v="50"/>
    <n v="450"/>
    <x v="0"/>
  </r>
  <r>
    <x v="18"/>
    <x v="1"/>
    <s v="Normal"/>
    <s v="Female"/>
    <x v="13"/>
    <x v="2"/>
    <n v="8"/>
    <n v="6"/>
    <n v="48"/>
    <x v="0"/>
  </r>
  <r>
    <x v="19"/>
    <x v="1"/>
    <s v="Member"/>
    <s v="Male"/>
    <x v="2"/>
    <x v="1"/>
    <n v="9"/>
    <n v="50"/>
    <n v="450"/>
    <x v="0"/>
  </r>
  <r>
    <x v="20"/>
    <x v="0"/>
    <s v="Member"/>
    <s v="Female"/>
    <x v="9"/>
    <x v="6"/>
    <n v="7"/>
    <n v="30"/>
    <n v="210"/>
    <x v="0"/>
  </r>
  <r>
    <x v="21"/>
    <x v="0"/>
    <s v="Member"/>
    <s v="Male"/>
    <x v="10"/>
    <x v="3"/>
    <n v="9"/>
    <n v="25"/>
    <n v="225"/>
    <x v="0"/>
  </r>
  <r>
    <x v="22"/>
    <x v="1"/>
    <s v="Normal"/>
    <s v="Male"/>
    <x v="10"/>
    <x v="3"/>
    <n v="1"/>
    <n v="25"/>
    <n v="25"/>
    <x v="0"/>
  </r>
  <r>
    <x v="23"/>
    <x v="1"/>
    <s v="Normal"/>
    <s v="Male"/>
    <x v="9"/>
    <x v="6"/>
    <n v="3"/>
    <n v="30"/>
    <n v="90"/>
    <x v="1"/>
  </r>
  <r>
    <x v="24"/>
    <x v="1"/>
    <s v="Member"/>
    <s v="Female"/>
    <x v="9"/>
    <x v="6"/>
    <n v="9"/>
    <n v="30"/>
    <n v="270"/>
    <x v="0"/>
  </r>
  <r>
    <x v="25"/>
    <x v="1"/>
    <s v="Member"/>
    <s v="Female"/>
    <x v="3"/>
    <x v="2"/>
    <n v="8"/>
    <n v="50"/>
    <n v="400"/>
    <x v="1"/>
  </r>
  <r>
    <x v="26"/>
    <x v="1"/>
    <s v="Normal"/>
    <s v="Female"/>
    <x v="6"/>
    <x v="4"/>
    <n v="4"/>
    <n v="60"/>
    <n v="240"/>
    <x v="0"/>
  </r>
  <r>
    <x v="27"/>
    <x v="2"/>
    <s v="Normal"/>
    <s v="Female"/>
    <x v="12"/>
    <x v="6"/>
    <n v="7"/>
    <n v="80"/>
    <n v="560"/>
    <x v="1"/>
  </r>
  <r>
    <x v="28"/>
    <x v="3"/>
    <s v="Normal"/>
    <s v="Female"/>
    <x v="14"/>
    <x v="3"/>
    <n v="10"/>
    <n v="40"/>
    <n v="400"/>
    <x v="0"/>
  </r>
  <r>
    <x v="29"/>
    <x v="0"/>
    <s v="Normal"/>
    <s v="Male"/>
    <x v="5"/>
    <x v="3"/>
    <n v="9"/>
    <n v="35"/>
    <n v="315"/>
    <x v="0"/>
  </r>
  <r>
    <x v="0"/>
    <x v="1"/>
    <s v="Normal"/>
    <s v="Male"/>
    <x v="2"/>
    <x v="1"/>
    <n v="9"/>
    <n v="50"/>
    <n v="450"/>
    <x v="0"/>
  </r>
  <r>
    <x v="1"/>
    <x v="0"/>
    <s v="Normal"/>
    <s v="Female"/>
    <x v="4"/>
    <x v="1"/>
    <n v="8"/>
    <n v="90"/>
    <n v="720"/>
    <x v="2"/>
  </r>
  <r>
    <x v="2"/>
    <x v="0"/>
    <s v="Member"/>
    <s v="Male"/>
    <x v="0"/>
    <x v="0"/>
    <n v="10"/>
    <n v="40"/>
    <n v="400"/>
    <x v="1"/>
  </r>
  <r>
    <x v="3"/>
    <x v="2"/>
    <s v="Member"/>
    <s v="Female"/>
    <x v="7"/>
    <x v="5"/>
    <n v="4"/>
    <n v="250"/>
    <n v="1000"/>
    <x v="2"/>
  </r>
  <r>
    <x v="4"/>
    <x v="0"/>
    <s v="Member"/>
    <s v="Male"/>
    <x v="7"/>
    <x v="5"/>
    <n v="7"/>
    <n v="250"/>
    <n v="1750"/>
    <x v="0"/>
  </r>
  <r>
    <x v="5"/>
    <x v="2"/>
    <s v="Member"/>
    <s v="Male"/>
    <x v="10"/>
    <x v="3"/>
    <n v="7"/>
    <n v="25"/>
    <n v="175"/>
    <x v="1"/>
  </r>
  <r>
    <x v="6"/>
    <x v="1"/>
    <s v="Normal"/>
    <s v="Female"/>
    <x v="0"/>
    <x v="0"/>
    <n v="10"/>
    <n v="40"/>
    <n v="400"/>
    <x v="0"/>
  </r>
  <r>
    <x v="7"/>
    <x v="2"/>
    <s v="Member"/>
    <s v="Female"/>
    <x v="12"/>
    <x v="6"/>
    <n v="6"/>
    <n v="80"/>
    <n v="480"/>
    <x v="2"/>
  </r>
  <r>
    <x v="8"/>
    <x v="3"/>
    <s v="Member"/>
    <s v="Male"/>
    <x v="9"/>
    <x v="6"/>
    <n v="9"/>
    <n v="30"/>
    <n v="270"/>
    <x v="2"/>
  </r>
  <r>
    <x v="9"/>
    <x v="3"/>
    <s v="Member"/>
    <s v="Female"/>
    <x v="4"/>
    <x v="1"/>
    <n v="9"/>
    <n v="90"/>
    <n v="810"/>
    <x v="2"/>
  </r>
  <r>
    <x v="10"/>
    <x v="3"/>
    <s v="Member"/>
    <s v="Male"/>
    <x v="14"/>
    <x v="3"/>
    <n v="9"/>
    <n v="40"/>
    <n v="360"/>
    <x v="1"/>
  </r>
  <r>
    <x v="11"/>
    <x v="3"/>
    <s v="Member"/>
    <s v="Female"/>
    <x v="10"/>
    <x v="3"/>
    <n v="10"/>
    <n v="25"/>
    <n v="250"/>
    <x v="0"/>
  </r>
  <r>
    <x v="12"/>
    <x v="3"/>
    <s v="Normal"/>
    <s v="Female"/>
    <x v="4"/>
    <x v="1"/>
    <n v="7"/>
    <n v="90"/>
    <n v="630"/>
    <x v="2"/>
  </r>
  <r>
    <x v="13"/>
    <x v="1"/>
    <s v="Member"/>
    <s v="Female"/>
    <x v="15"/>
    <x v="2"/>
    <n v="3"/>
    <n v="200"/>
    <n v="600"/>
    <x v="1"/>
  </r>
  <r>
    <x v="14"/>
    <x v="3"/>
    <s v="Normal"/>
    <s v="Male"/>
    <x v="10"/>
    <x v="3"/>
    <n v="1"/>
    <n v="25"/>
    <n v="25"/>
    <x v="2"/>
  </r>
  <r>
    <x v="15"/>
    <x v="2"/>
    <s v="Normal"/>
    <s v="Male"/>
    <x v="0"/>
    <x v="0"/>
    <n v="8"/>
    <n v="40"/>
    <n v="320"/>
    <x v="1"/>
  </r>
  <r>
    <x v="16"/>
    <x v="3"/>
    <s v="Normal"/>
    <s v="Female"/>
    <x v="8"/>
    <x v="2"/>
    <n v="10"/>
    <n v="120"/>
    <n v="1200"/>
    <x v="1"/>
  </r>
  <r>
    <x v="17"/>
    <x v="0"/>
    <s v="Member"/>
    <s v="Male"/>
    <x v="0"/>
    <x v="0"/>
    <n v="9"/>
    <n v="40"/>
    <n v="360"/>
    <x v="1"/>
  </r>
  <r>
    <x v="18"/>
    <x v="2"/>
    <s v="Member"/>
    <s v="Female"/>
    <x v="6"/>
    <x v="4"/>
    <n v="7"/>
    <n v="60"/>
    <n v="420"/>
    <x v="2"/>
  </r>
  <r>
    <x v="19"/>
    <x v="2"/>
    <s v="Member"/>
    <s v="Female"/>
    <x v="7"/>
    <x v="5"/>
    <n v="1"/>
    <n v="250"/>
    <n v="250"/>
    <x v="1"/>
  </r>
  <r>
    <x v="20"/>
    <x v="1"/>
    <s v="Normal"/>
    <s v="Male"/>
    <x v="0"/>
    <x v="0"/>
    <n v="2"/>
    <n v="40"/>
    <n v="80"/>
    <x v="2"/>
  </r>
  <r>
    <x v="21"/>
    <x v="0"/>
    <s v="Normal"/>
    <s v="Male"/>
    <x v="13"/>
    <x v="2"/>
    <n v="3"/>
    <n v="6"/>
    <n v="18"/>
    <x v="1"/>
  </r>
  <r>
    <x v="22"/>
    <x v="2"/>
    <s v="Normal"/>
    <s v="Male"/>
    <x v="4"/>
    <x v="1"/>
    <n v="1"/>
    <n v="90"/>
    <n v="90"/>
    <x v="1"/>
  </r>
  <r>
    <x v="23"/>
    <x v="0"/>
    <s v="Member"/>
    <s v="Female"/>
    <x v="13"/>
    <x v="2"/>
    <n v="2"/>
    <n v="6"/>
    <n v="12"/>
    <x v="0"/>
  </r>
  <r>
    <x v="24"/>
    <x v="0"/>
    <s v="Member"/>
    <s v="Male"/>
    <x v="1"/>
    <x v="0"/>
    <n v="10"/>
    <n v="70"/>
    <n v="700"/>
    <x v="1"/>
  </r>
  <r>
    <x v="25"/>
    <x v="3"/>
    <s v="Member"/>
    <s v="Male"/>
    <x v="14"/>
    <x v="3"/>
    <n v="1"/>
    <n v="40"/>
    <n v="40"/>
    <x v="0"/>
  </r>
  <r>
    <x v="26"/>
    <x v="3"/>
    <s v="Normal"/>
    <s v="Male"/>
    <x v="5"/>
    <x v="3"/>
    <n v="7"/>
    <n v="35"/>
    <n v="245"/>
    <x v="0"/>
  </r>
  <r>
    <x v="27"/>
    <x v="2"/>
    <s v="Normal"/>
    <s v="Female"/>
    <x v="11"/>
    <x v="5"/>
    <n v="3"/>
    <n v="300"/>
    <n v="900"/>
    <x v="0"/>
  </r>
  <r>
    <x v="28"/>
    <x v="3"/>
    <s v="Normal"/>
    <s v="Male"/>
    <x v="0"/>
    <x v="0"/>
    <n v="3"/>
    <n v="40"/>
    <n v="120"/>
    <x v="1"/>
  </r>
  <r>
    <x v="29"/>
    <x v="1"/>
    <s v="Member"/>
    <s v="Female"/>
    <x v="8"/>
    <x v="2"/>
    <n v="8"/>
    <n v="120"/>
    <n v="960"/>
    <x v="0"/>
  </r>
  <r>
    <x v="0"/>
    <x v="0"/>
    <s v="Member"/>
    <s v="Female"/>
    <x v="12"/>
    <x v="6"/>
    <n v="9"/>
    <n v="80"/>
    <n v="720"/>
    <x v="1"/>
  </r>
  <r>
    <x v="1"/>
    <x v="0"/>
    <s v="Member"/>
    <s v="Male"/>
    <x v="8"/>
    <x v="2"/>
    <n v="7"/>
    <n v="120"/>
    <n v="840"/>
    <x v="2"/>
  </r>
  <r>
    <x v="2"/>
    <x v="0"/>
    <s v="Normal"/>
    <s v="Male"/>
    <x v="12"/>
    <x v="6"/>
    <n v="6"/>
    <n v="80"/>
    <n v="480"/>
    <x v="2"/>
  </r>
  <r>
    <x v="3"/>
    <x v="2"/>
    <s v="Member"/>
    <s v="Female"/>
    <x v="2"/>
    <x v="1"/>
    <n v="8"/>
    <n v="50"/>
    <n v="400"/>
    <x v="1"/>
  </r>
  <r>
    <x v="4"/>
    <x v="3"/>
    <s v="Member"/>
    <s v="Male"/>
    <x v="13"/>
    <x v="2"/>
    <n v="5"/>
    <n v="6"/>
    <n v="30"/>
    <x v="0"/>
  </r>
  <r>
    <x v="5"/>
    <x v="1"/>
    <s v="Normal"/>
    <s v="Female"/>
    <x v="8"/>
    <x v="2"/>
    <n v="5"/>
    <n v="120"/>
    <n v="600"/>
    <x v="1"/>
  </r>
  <r>
    <x v="6"/>
    <x v="3"/>
    <s v="Normal"/>
    <s v="Male"/>
    <x v="4"/>
    <x v="1"/>
    <n v="3"/>
    <n v="90"/>
    <n v="270"/>
    <x v="1"/>
  </r>
  <r>
    <x v="7"/>
    <x v="2"/>
    <s v="Member"/>
    <s v="Female"/>
    <x v="0"/>
    <x v="0"/>
    <n v="3"/>
    <n v="40"/>
    <n v="120"/>
    <x v="2"/>
  </r>
  <r>
    <x v="8"/>
    <x v="2"/>
    <s v="Member"/>
    <s v="Male"/>
    <x v="10"/>
    <x v="3"/>
    <n v="1"/>
    <n v="25"/>
    <n v="25"/>
    <x v="0"/>
  </r>
  <r>
    <x v="9"/>
    <x v="1"/>
    <s v="Normal"/>
    <s v="Male"/>
    <x v="15"/>
    <x v="2"/>
    <n v="4"/>
    <n v="200"/>
    <n v="800"/>
    <x v="2"/>
  </r>
  <r>
    <x v="10"/>
    <x v="0"/>
    <s v="Member"/>
    <s v="Female"/>
    <x v="9"/>
    <x v="6"/>
    <n v="4"/>
    <n v="30"/>
    <n v="120"/>
    <x v="0"/>
  </r>
  <r>
    <x v="11"/>
    <x v="3"/>
    <s v="Member"/>
    <s v="Male"/>
    <x v="8"/>
    <x v="2"/>
    <n v="7"/>
    <n v="120"/>
    <n v="840"/>
    <x v="1"/>
  </r>
  <r>
    <x v="12"/>
    <x v="1"/>
    <s v="Member"/>
    <s v="Male"/>
    <x v="10"/>
    <x v="3"/>
    <n v="1"/>
    <n v="25"/>
    <n v="25"/>
    <x v="1"/>
  </r>
  <r>
    <x v="13"/>
    <x v="2"/>
    <s v="Member"/>
    <s v="Male"/>
    <x v="1"/>
    <x v="0"/>
    <n v="3"/>
    <n v="70"/>
    <n v="210"/>
    <x v="2"/>
  </r>
  <r>
    <x v="14"/>
    <x v="2"/>
    <s v="Normal"/>
    <s v="Male"/>
    <x v="8"/>
    <x v="2"/>
    <n v="3"/>
    <n v="120"/>
    <n v="360"/>
    <x v="0"/>
  </r>
  <r>
    <x v="15"/>
    <x v="0"/>
    <s v="Normal"/>
    <s v="Female"/>
    <x v="1"/>
    <x v="0"/>
    <n v="8"/>
    <n v="70"/>
    <n v="560"/>
    <x v="1"/>
  </r>
  <r>
    <x v="16"/>
    <x v="3"/>
    <s v="Normal"/>
    <s v="Male"/>
    <x v="4"/>
    <x v="1"/>
    <n v="4"/>
    <n v="90"/>
    <n v="360"/>
    <x v="1"/>
  </r>
  <r>
    <x v="17"/>
    <x v="1"/>
    <s v="Member"/>
    <s v="Male"/>
    <x v="7"/>
    <x v="5"/>
    <n v="2"/>
    <n v="250"/>
    <n v="500"/>
    <x v="2"/>
  </r>
  <r>
    <x v="18"/>
    <x v="0"/>
    <s v="Normal"/>
    <s v="Male"/>
    <x v="13"/>
    <x v="2"/>
    <n v="7"/>
    <n v="6"/>
    <n v="42"/>
    <x v="0"/>
  </r>
  <r>
    <x v="19"/>
    <x v="0"/>
    <s v="Normal"/>
    <s v="Female"/>
    <x v="7"/>
    <x v="5"/>
    <n v="4"/>
    <n v="250"/>
    <n v="1000"/>
    <x v="2"/>
  </r>
  <r>
    <x v="20"/>
    <x v="1"/>
    <s v="Normal"/>
    <s v="Male"/>
    <x v="10"/>
    <x v="3"/>
    <n v="3"/>
    <n v="25"/>
    <n v="75"/>
    <x v="2"/>
  </r>
  <r>
    <x v="21"/>
    <x v="2"/>
    <s v="Member"/>
    <s v="Male"/>
    <x v="11"/>
    <x v="5"/>
    <n v="5"/>
    <n v="300"/>
    <n v="1500"/>
    <x v="1"/>
  </r>
  <r>
    <x v="22"/>
    <x v="2"/>
    <s v="Member"/>
    <s v="Female"/>
    <x v="11"/>
    <x v="5"/>
    <n v="10"/>
    <n v="300"/>
    <n v="3000"/>
    <x v="1"/>
  </r>
  <r>
    <x v="23"/>
    <x v="2"/>
    <s v="Member"/>
    <s v="Male"/>
    <x v="8"/>
    <x v="2"/>
    <n v="4"/>
    <n v="120"/>
    <n v="480"/>
    <x v="1"/>
  </r>
  <r>
    <x v="24"/>
    <x v="3"/>
    <s v="Member"/>
    <s v="Male"/>
    <x v="12"/>
    <x v="6"/>
    <n v="2"/>
    <n v="80"/>
    <n v="160"/>
    <x v="1"/>
  </r>
  <r>
    <x v="25"/>
    <x v="3"/>
    <s v="Normal"/>
    <s v="Female"/>
    <x v="11"/>
    <x v="5"/>
    <n v="7"/>
    <n v="300"/>
    <n v="2100"/>
    <x v="0"/>
  </r>
  <r>
    <x v="26"/>
    <x v="1"/>
    <s v="Normal"/>
    <s v="Female"/>
    <x v="3"/>
    <x v="2"/>
    <n v="4"/>
    <n v="50"/>
    <n v="200"/>
    <x v="1"/>
  </r>
  <r>
    <x v="27"/>
    <x v="1"/>
    <s v="Normal"/>
    <s v="Male"/>
    <x v="1"/>
    <x v="0"/>
    <n v="1"/>
    <n v="70"/>
    <n v="70"/>
    <x v="1"/>
  </r>
  <r>
    <x v="28"/>
    <x v="1"/>
    <s v="Member"/>
    <s v="Male"/>
    <x v="4"/>
    <x v="1"/>
    <n v="9"/>
    <n v="90"/>
    <n v="810"/>
    <x v="0"/>
  </r>
  <r>
    <x v="29"/>
    <x v="3"/>
    <s v="Member"/>
    <s v="Female"/>
    <x v="8"/>
    <x v="2"/>
    <n v="6"/>
    <n v="120"/>
    <n v="720"/>
    <x v="1"/>
  </r>
  <r>
    <x v="0"/>
    <x v="3"/>
    <s v="Normal"/>
    <s v="Female"/>
    <x v="15"/>
    <x v="2"/>
    <n v="10"/>
    <n v="200"/>
    <n v="2000"/>
    <x v="1"/>
  </r>
  <r>
    <x v="1"/>
    <x v="1"/>
    <s v="Normal"/>
    <s v="Female"/>
    <x v="13"/>
    <x v="2"/>
    <n v="6"/>
    <n v="6"/>
    <n v="36"/>
    <x v="2"/>
  </r>
  <r>
    <x v="2"/>
    <x v="1"/>
    <s v="Normal"/>
    <s v="Male"/>
    <x v="10"/>
    <x v="3"/>
    <n v="1"/>
    <n v="25"/>
    <n v="25"/>
    <x v="1"/>
  </r>
  <r>
    <x v="3"/>
    <x v="0"/>
    <s v="Normal"/>
    <s v="Female"/>
    <x v="4"/>
    <x v="1"/>
    <n v="6"/>
    <n v="90"/>
    <n v="540"/>
    <x v="2"/>
  </r>
  <r>
    <x v="4"/>
    <x v="2"/>
    <s v="Normal"/>
    <s v="Male"/>
    <x v="5"/>
    <x v="3"/>
    <n v="9"/>
    <n v="35"/>
    <n v="315"/>
    <x v="0"/>
  </r>
  <r>
    <x v="5"/>
    <x v="3"/>
    <s v="Member"/>
    <s v="Female"/>
    <x v="7"/>
    <x v="5"/>
    <n v="4"/>
    <n v="250"/>
    <n v="1000"/>
    <x v="2"/>
  </r>
  <r>
    <x v="6"/>
    <x v="2"/>
    <s v="Member"/>
    <s v="Female"/>
    <x v="0"/>
    <x v="0"/>
    <n v="2"/>
    <n v="40"/>
    <n v="80"/>
    <x v="0"/>
  </r>
  <r>
    <x v="7"/>
    <x v="3"/>
    <s v="Member"/>
    <s v="Male"/>
    <x v="9"/>
    <x v="6"/>
    <n v="1"/>
    <n v="30"/>
    <n v="30"/>
    <x v="1"/>
  </r>
  <r>
    <x v="8"/>
    <x v="1"/>
    <s v="Member"/>
    <s v="Male"/>
    <x v="12"/>
    <x v="6"/>
    <n v="3"/>
    <n v="80"/>
    <n v="240"/>
    <x v="2"/>
  </r>
  <r>
    <x v="9"/>
    <x v="2"/>
    <s v="Normal"/>
    <s v="Male"/>
    <x v="0"/>
    <x v="0"/>
    <n v="1"/>
    <n v="40"/>
    <n v="40"/>
    <x v="0"/>
  </r>
  <r>
    <x v="10"/>
    <x v="2"/>
    <s v="Normal"/>
    <s v="Male"/>
    <x v="6"/>
    <x v="4"/>
    <n v="1"/>
    <n v="60"/>
    <n v="60"/>
    <x v="2"/>
  </r>
  <r>
    <x v="11"/>
    <x v="2"/>
    <s v="Normal"/>
    <s v="Male"/>
    <x v="5"/>
    <x v="3"/>
    <n v="3"/>
    <n v="35"/>
    <n v="105"/>
    <x v="2"/>
  </r>
  <r>
    <x v="12"/>
    <x v="2"/>
    <s v="Member"/>
    <s v="Female"/>
    <x v="13"/>
    <x v="2"/>
    <n v="9"/>
    <n v="6"/>
    <n v="54"/>
    <x v="0"/>
  </r>
  <r>
    <x v="13"/>
    <x v="2"/>
    <s v="Member"/>
    <s v="Female"/>
    <x v="1"/>
    <x v="0"/>
    <n v="10"/>
    <n v="70"/>
    <n v="700"/>
    <x v="2"/>
  </r>
  <r>
    <x v="14"/>
    <x v="2"/>
    <s v="Normal"/>
    <s v="Male"/>
    <x v="5"/>
    <x v="3"/>
    <n v="7"/>
    <n v="35"/>
    <n v="245"/>
    <x v="0"/>
  </r>
  <r>
    <x v="15"/>
    <x v="0"/>
    <s v="Normal"/>
    <s v="Male"/>
    <x v="7"/>
    <x v="5"/>
    <n v="8"/>
    <n v="250"/>
    <n v="2000"/>
    <x v="1"/>
  </r>
  <r>
    <x v="16"/>
    <x v="2"/>
    <s v="Member"/>
    <s v="Male"/>
    <x v="10"/>
    <x v="3"/>
    <n v="8"/>
    <n v="25"/>
    <n v="200"/>
    <x v="2"/>
  </r>
  <r>
    <x v="17"/>
    <x v="0"/>
    <s v="Member"/>
    <s v="Female"/>
    <x v="10"/>
    <x v="3"/>
    <n v="6"/>
    <n v="25"/>
    <n v="150"/>
    <x v="2"/>
  </r>
  <r>
    <x v="18"/>
    <x v="3"/>
    <s v="Member"/>
    <s v="Male"/>
    <x v="4"/>
    <x v="1"/>
    <n v="2"/>
    <n v="90"/>
    <n v="180"/>
    <x v="2"/>
  </r>
  <r>
    <x v="19"/>
    <x v="0"/>
    <s v="Normal"/>
    <s v="Male"/>
    <x v="9"/>
    <x v="6"/>
    <n v="3"/>
    <n v="30"/>
    <n v="90"/>
    <x v="1"/>
  </r>
  <r>
    <x v="20"/>
    <x v="0"/>
    <s v="Member"/>
    <s v="Female"/>
    <x v="11"/>
    <x v="5"/>
    <n v="9"/>
    <n v="300"/>
    <n v="2700"/>
    <x v="0"/>
  </r>
  <r>
    <x v="21"/>
    <x v="1"/>
    <s v="Normal"/>
    <s v="Male"/>
    <x v="13"/>
    <x v="2"/>
    <n v="2"/>
    <n v="6"/>
    <n v="12"/>
    <x v="1"/>
  </r>
  <r>
    <x v="22"/>
    <x v="3"/>
    <s v="Member"/>
    <s v="Female"/>
    <x v="8"/>
    <x v="2"/>
    <n v="7"/>
    <n v="120"/>
    <n v="840"/>
    <x v="1"/>
  </r>
  <r>
    <x v="23"/>
    <x v="2"/>
    <s v="Normal"/>
    <s v="Male"/>
    <x v="3"/>
    <x v="2"/>
    <n v="1"/>
    <n v="50"/>
    <n v="50"/>
    <x v="1"/>
  </r>
  <r>
    <x v="24"/>
    <x v="1"/>
    <s v="Member"/>
    <s v="Male"/>
    <x v="10"/>
    <x v="3"/>
    <n v="8"/>
    <n v="25"/>
    <n v="200"/>
    <x v="2"/>
  </r>
  <r>
    <x v="25"/>
    <x v="3"/>
    <s v="Normal"/>
    <s v="Female"/>
    <x v="14"/>
    <x v="3"/>
    <n v="2"/>
    <n v="40"/>
    <n v="80"/>
    <x v="1"/>
  </r>
  <r>
    <x v="26"/>
    <x v="3"/>
    <s v="Member"/>
    <s v="Female"/>
    <x v="2"/>
    <x v="1"/>
    <n v="10"/>
    <n v="50"/>
    <n v="500"/>
    <x v="2"/>
  </r>
  <r>
    <x v="27"/>
    <x v="1"/>
    <s v="Normal"/>
    <s v="Male"/>
    <x v="3"/>
    <x v="2"/>
    <n v="10"/>
    <n v="50"/>
    <n v="500"/>
    <x v="0"/>
  </r>
  <r>
    <x v="28"/>
    <x v="2"/>
    <s v="Normal"/>
    <s v="Female"/>
    <x v="13"/>
    <x v="2"/>
    <n v="1"/>
    <n v="6"/>
    <n v="6"/>
    <x v="0"/>
  </r>
  <r>
    <x v="29"/>
    <x v="0"/>
    <s v="Normal"/>
    <s v="Female"/>
    <x v="10"/>
    <x v="3"/>
    <n v="2"/>
    <n v="25"/>
    <n v="50"/>
    <x v="1"/>
  </r>
  <r>
    <x v="0"/>
    <x v="2"/>
    <s v="Normal"/>
    <s v="Female"/>
    <x v="7"/>
    <x v="5"/>
    <n v="6"/>
    <n v="250"/>
    <n v="1500"/>
    <x v="1"/>
  </r>
  <r>
    <x v="1"/>
    <x v="3"/>
    <s v="Normal"/>
    <s v="Male"/>
    <x v="9"/>
    <x v="6"/>
    <n v="9"/>
    <n v="30"/>
    <n v="270"/>
    <x v="2"/>
  </r>
  <r>
    <x v="2"/>
    <x v="2"/>
    <s v="Normal"/>
    <s v="Male"/>
    <x v="7"/>
    <x v="5"/>
    <n v="10"/>
    <n v="250"/>
    <n v="2500"/>
    <x v="2"/>
  </r>
  <r>
    <x v="3"/>
    <x v="0"/>
    <s v="Normal"/>
    <s v="Female"/>
    <x v="12"/>
    <x v="6"/>
    <n v="5"/>
    <n v="80"/>
    <n v="400"/>
    <x v="1"/>
  </r>
  <r>
    <x v="4"/>
    <x v="0"/>
    <s v="Normal"/>
    <s v="Male"/>
    <x v="3"/>
    <x v="2"/>
    <n v="10"/>
    <n v="50"/>
    <n v="500"/>
    <x v="2"/>
  </r>
  <r>
    <x v="5"/>
    <x v="0"/>
    <s v="Member"/>
    <s v="Female"/>
    <x v="13"/>
    <x v="2"/>
    <n v="10"/>
    <n v="6"/>
    <n v="60"/>
    <x v="0"/>
  </r>
  <r>
    <x v="6"/>
    <x v="2"/>
    <s v="Member"/>
    <s v="Male"/>
    <x v="12"/>
    <x v="6"/>
    <n v="2"/>
    <n v="80"/>
    <n v="160"/>
    <x v="2"/>
  </r>
  <r>
    <x v="7"/>
    <x v="1"/>
    <s v="Member"/>
    <s v="Female"/>
    <x v="11"/>
    <x v="5"/>
    <n v="4"/>
    <n v="300"/>
    <n v="1200"/>
    <x v="0"/>
  </r>
  <r>
    <x v="8"/>
    <x v="1"/>
    <s v="Normal"/>
    <s v="Male"/>
    <x v="0"/>
    <x v="0"/>
    <n v="6"/>
    <n v="40"/>
    <n v="240"/>
    <x v="2"/>
  </r>
  <r>
    <x v="9"/>
    <x v="0"/>
    <s v="Normal"/>
    <s v="Female"/>
    <x v="1"/>
    <x v="0"/>
    <n v="10"/>
    <n v="70"/>
    <n v="7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200F4-F505-44F4-8EB3-340AB1CDB8E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1">
    <pivotField showAll="0"/>
    <pivotField numFmtId="14" showAll="0"/>
    <pivotField axis="axisRow" showAll="0">
      <items count="5">
        <item x="0"/>
        <item x="2"/>
        <item x="1"/>
        <item x="3"/>
        <item t="default"/>
      </items>
    </pivotField>
    <pivotField showAll="0"/>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Amount" fld="9"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B4727D-723F-4B94-95DB-1ECF1BAC97A2}"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1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5">
        <item x="0"/>
        <item x="2"/>
        <item x="1"/>
        <item x="3"/>
        <item t="default"/>
      </items>
    </pivotField>
    <pivotField showAll="0"/>
    <pivotField showAll="0"/>
    <pivotField showAll="0"/>
    <pivotField axis="axisRow" showAll="0">
      <items count="8">
        <item x="0"/>
        <item x="1"/>
        <item x="2"/>
        <item x="6"/>
        <item x="4"/>
        <item x="5"/>
        <item x="3"/>
        <item t="default"/>
      </items>
    </pivotField>
    <pivotField showAll="0"/>
    <pivotField showAll="0"/>
    <pivotField dataField="1" showAll="0"/>
    <pivotField showAll="0"/>
  </pivotFields>
  <rowFields count="1">
    <field x="5"/>
  </rowFields>
  <rowItems count="8">
    <i>
      <x/>
    </i>
    <i>
      <x v="1"/>
    </i>
    <i>
      <x v="2"/>
    </i>
    <i>
      <x v="3"/>
    </i>
    <i>
      <x v="4"/>
    </i>
    <i>
      <x v="5"/>
    </i>
    <i>
      <x v="6"/>
    </i>
    <i t="grand">
      <x/>
    </i>
  </rowItems>
  <colItems count="1">
    <i/>
  </colItems>
  <dataFields count="1">
    <dataField name="Sum of Total Amount" fld="8"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D9846-1C8F-483F-8124-211E08D623B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5">
        <item x="0"/>
        <item x="2"/>
        <item x="1"/>
        <item x="3"/>
        <item t="default"/>
      </items>
    </pivotField>
    <pivotField showAll="0"/>
    <pivotField showAll="0"/>
    <pivotField showAll="0"/>
    <pivotField showAll="0">
      <items count="8">
        <item x="0"/>
        <item x="1"/>
        <item x="2"/>
        <item x="6"/>
        <item x="4"/>
        <item x="5"/>
        <item x="3"/>
        <item t="default"/>
      </items>
    </pivotField>
    <pivotField showAll="0"/>
    <pivotField showAll="0"/>
    <pivotField dataField="1" showAll="0"/>
    <pivotField axis="axisRow" showAll="0">
      <items count="4">
        <item x="0"/>
        <item x="1"/>
        <item x="2"/>
        <item t="default"/>
      </items>
    </pivotField>
  </pivotFields>
  <rowFields count="1">
    <field x="9"/>
  </rowFields>
  <rowItems count="4">
    <i>
      <x/>
    </i>
    <i>
      <x v="1"/>
    </i>
    <i>
      <x v="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12FB1-D13A-4674-B0A7-EEB1169E377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0" firstHeaderRow="1" firstDataRow="1" firstDataCol="1"/>
  <pivotFields count="1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5">
        <item x="0"/>
        <item x="2"/>
        <item x="1"/>
        <item x="3"/>
        <item t="default"/>
      </items>
    </pivotField>
    <pivotField showAll="0"/>
    <pivotField showAll="0"/>
    <pivotField axis="axisRow" showAll="0">
      <items count="17">
        <item x="12"/>
        <item x="9"/>
        <item x="0"/>
        <item x="8"/>
        <item x="15"/>
        <item x="7"/>
        <item x="2"/>
        <item x="1"/>
        <item x="13"/>
        <item x="11"/>
        <item x="4"/>
        <item x="3"/>
        <item x="5"/>
        <item x="10"/>
        <item x="6"/>
        <item x="14"/>
        <item t="default"/>
      </items>
    </pivotField>
    <pivotField showAll="0">
      <items count="8">
        <item x="0"/>
        <item x="1"/>
        <item x="2"/>
        <item x="6"/>
        <item x="4"/>
        <item x="5"/>
        <item x="3"/>
        <item t="default"/>
      </items>
    </pivotField>
    <pivotField dataField="1" showAll="0"/>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762C8D1-435C-438D-AB5C-BD15EA038B11}" sourceName="City">
  <pivotTables>
    <pivotTable tabId="5" name="PivotTable4"/>
    <pivotTable tabId="3" name="PivotTable2"/>
    <pivotTable tabId="4" name="PivotTable3"/>
  </pivotTables>
  <data>
    <tabular pivotCacheId="410201597">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67573A-270F-4D3C-AA2B-4DC6B8B98206}" sourceName="Category">
  <pivotTables>
    <pivotTable tabId="5" name="PivotTable4"/>
    <pivotTable tabId="3" name="PivotTable2"/>
    <pivotTable tabId="4" name="PivotTable3"/>
  </pivotTables>
  <data>
    <tabular pivotCacheId="410201597">
      <items count="7">
        <i x="0" s="1"/>
        <i x="1" s="1"/>
        <i x="2" s="1"/>
        <i x="6" s="1"/>
        <i x="4"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F4CA5A6-5765-46FB-B4A6-36DD41334F3B}" sourceName="Date">
  <pivotTables>
    <pivotTable tabId="5" name="PivotTable4"/>
    <pivotTable tabId="3" name="PivotTable2"/>
    <pivotTable tabId="4" name="PivotTable3"/>
  </pivotTables>
  <data>
    <tabular pivotCacheId="410201597">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EB58077-D0C7-482C-9C17-C97608397376}" cache="Slicer_City" caption="City" rowHeight="234950"/>
  <slicer name="Category" xr10:uid="{65D3556D-4FE4-4BD8-A1ED-E1ECB164824A}" cache="Slicer_Category" caption="Category" rowHeight="234950"/>
  <slicer name="Date" xr10:uid="{C93F9144-F629-4EF2-A05C-C5B84D347859}" cache="Slicer_Date" caption="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276EAE9-42BA-413C-8B89-F5B64C9858B7}" cache="Slicer_City" caption="City" rowHeight="234950"/>
  <slicer name="Category 1" xr10:uid="{D58E532D-7BC9-4DD9-B9EA-A5D7DC777C8A}" cache="Slicer_Category" caption="Category" rowHeight="234950"/>
  <slicer name="Date 1" xr10:uid="{1186B622-B9BA-4C66-8E59-5C382DBF434D}" cache="Slicer_Date" cap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DE8CD-CF0C-4B58-8E7F-822E8395DF43}">
  <dimension ref="A1:P251"/>
  <sheetViews>
    <sheetView topLeftCell="D1" workbookViewId="0">
      <selection activeCell="I2" sqref="I2"/>
    </sheetView>
  </sheetViews>
  <sheetFormatPr defaultRowHeight="14.4" x14ac:dyDescent="0.3"/>
  <cols>
    <col min="2" max="2" width="10.33203125" bestFit="1" customWidth="1"/>
    <col min="3" max="3" width="10.6640625" bestFit="1" customWidth="1"/>
    <col min="6" max="6" width="15.44140625" bestFit="1" customWidth="1"/>
    <col min="7" max="7" width="17.33203125" bestFit="1" customWidth="1"/>
    <col min="10" max="10" width="12.109375" bestFit="1" customWidth="1"/>
    <col min="15" max="15" width="38.109375" customWidth="1"/>
  </cols>
  <sheetData>
    <row r="1" spans="1:16" x14ac:dyDescent="0.3">
      <c r="A1" t="s">
        <v>3</v>
      </c>
      <c r="B1" t="s">
        <v>4</v>
      </c>
      <c r="C1" t="s">
        <v>0</v>
      </c>
      <c r="D1" t="s">
        <v>5</v>
      </c>
      <c r="E1" t="s">
        <v>6</v>
      </c>
      <c r="F1" t="s">
        <v>7</v>
      </c>
      <c r="G1" t="s">
        <v>8</v>
      </c>
      <c r="H1" t="s">
        <v>9</v>
      </c>
      <c r="I1" t="s">
        <v>10</v>
      </c>
      <c r="J1" t="s">
        <v>11</v>
      </c>
      <c r="K1" t="s">
        <v>12</v>
      </c>
    </row>
    <row r="2" spans="1:16" x14ac:dyDescent="0.3">
      <c r="A2">
        <v>3001</v>
      </c>
      <c r="B2" s="1">
        <v>46082</v>
      </c>
      <c r="C2" t="s">
        <v>1</v>
      </c>
      <c r="D2" t="s">
        <v>13</v>
      </c>
      <c r="E2" t="s">
        <v>14</v>
      </c>
      <c r="F2" t="s">
        <v>15</v>
      </c>
      <c r="G2" t="s">
        <v>16</v>
      </c>
      <c r="H2">
        <v>9</v>
      </c>
      <c r="I2">
        <v>40</v>
      </c>
      <c r="J2">
        <v>360</v>
      </c>
      <c r="K2" t="s">
        <v>17</v>
      </c>
      <c r="O2" s="7" t="s">
        <v>52</v>
      </c>
      <c r="P2" s="5"/>
    </row>
    <row r="3" spans="1:16" x14ac:dyDescent="0.3">
      <c r="A3">
        <v>3002</v>
      </c>
      <c r="B3" s="1">
        <v>46083</v>
      </c>
      <c r="C3" t="s">
        <v>1</v>
      </c>
      <c r="D3" t="s">
        <v>18</v>
      </c>
      <c r="E3" t="s">
        <v>14</v>
      </c>
      <c r="F3" t="s">
        <v>19</v>
      </c>
      <c r="G3" t="s">
        <v>16</v>
      </c>
      <c r="H3">
        <v>9</v>
      </c>
      <c r="I3">
        <v>70</v>
      </c>
      <c r="J3">
        <v>630</v>
      </c>
      <c r="K3" t="s">
        <v>20</v>
      </c>
      <c r="O3" s="5" t="s">
        <v>53</v>
      </c>
      <c r="P3" s="6">
        <f>VLOOKUP(F2, F2:J251, 4, FALSE)</f>
        <v>40</v>
      </c>
    </row>
    <row r="4" spans="1:16" x14ac:dyDescent="0.3">
      <c r="A4">
        <v>3003</v>
      </c>
      <c r="B4" s="1">
        <v>46084</v>
      </c>
      <c r="C4" t="s">
        <v>2</v>
      </c>
      <c r="D4" t="s">
        <v>18</v>
      </c>
      <c r="E4" t="s">
        <v>14</v>
      </c>
      <c r="F4" t="s">
        <v>21</v>
      </c>
      <c r="G4" t="s">
        <v>22</v>
      </c>
      <c r="H4">
        <v>6</v>
      </c>
      <c r="I4">
        <v>50</v>
      </c>
      <c r="J4">
        <v>300</v>
      </c>
      <c r="K4" t="s">
        <v>20</v>
      </c>
    </row>
    <row r="5" spans="1:16" x14ac:dyDescent="0.3">
      <c r="A5">
        <v>3004</v>
      </c>
      <c r="B5" s="1">
        <v>46085</v>
      </c>
      <c r="C5" t="s">
        <v>23</v>
      </c>
      <c r="D5" t="s">
        <v>13</v>
      </c>
      <c r="E5" t="s">
        <v>14</v>
      </c>
      <c r="F5" t="s">
        <v>24</v>
      </c>
      <c r="G5" t="s">
        <v>25</v>
      </c>
      <c r="H5">
        <v>2</v>
      </c>
      <c r="I5">
        <v>50</v>
      </c>
      <c r="J5">
        <v>100</v>
      </c>
      <c r="K5" t="s">
        <v>17</v>
      </c>
      <c r="O5" s="5" t="s">
        <v>48</v>
      </c>
      <c r="P5" s="5"/>
    </row>
    <row r="6" spans="1:16" x14ac:dyDescent="0.3">
      <c r="A6">
        <v>3005</v>
      </c>
      <c r="B6" s="1">
        <v>46086</v>
      </c>
      <c r="C6" t="s">
        <v>2</v>
      </c>
      <c r="D6" t="s">
        <v>18</v>
      </c>
      <c r="E6" t="s">
        <v>14</v>
      </c>
      <c r="F6" t="s">
        <v>26</v>
      </c>
      <c r="G6" t="s">
        <v>22</v>
      </c>
      <c r="H6">
        <v>3</v>
      </c>
      <c r="I6">
        <v>90</v>
      </c>
      <c r="J6">
        <v>270</v>
      </c>
      <c r="K6" t="s">
        <v>17</v>
      </c>
      <c r="O6" s="5" t="s">
        <v>49</v>
      </c>
      <c r="P6" s="6">
        <f>SUMIF(K2:K251,"UPI",J2:J251)</f>
        <v>41546</v>
      </c>
    </row>
    <row r="7" spans="1:16" x14ac:dyDescent="0.3">
      <c r="A7">
        <v>3006</v>
      </c>
      <c r="B7" s="1">
        <v>46087</v>
      </c>
      <c r="C7" t="s">
        <v>1</v>
      </c>
      <c r="D7" t="s">
        <v>18</v>
      </c>
      <c r="E7" t="s">
        <v>14</v>
      </c>
      <c r="F7" t="s">
        <v>27</v>
      </c>
      <c r="G7" t="s">
        <v>28</v>
      </c>
      <c r="H7">
        <v>8</v>
      </c>
      <c r="I7">
        <v>35</v>
      </c>
      <c r="J7">
        <v>280</v>
      </c>
      <c r="K7" t="s">
        <v>29</v>
      </c>
    </row>
    <row r="8" spans="1:16" x14ac:dyDescent="0.3">
      <c r="A8">
        <v>3007</v>
      </c>
      <c r="B8" s="1">
        <v>46088</v>
      </c>
      <c r="C8" t="s">
        <v>1</v>
      </c>
      <c r="D8" t="s">
        <v>13</v>
      </c>
      <c r="E8" t="s">
        <v>30</v>
      </c>
      <c r="F8" t="s">
        <v>31</v>
      </c>
      <c r="G8" t="s">
        <v>32</v>
      </c>
      <c r="H8">
        <v>4</v>
      </c>
      <c r="I8">
        <v>60</v>
      </c>
      <c r="J8">
        <v>240</v>
      </c>
      <c r="K8" t="s">
        <v>17</v>
      </c>
      <c r="O8" s="5" t="s">
        <v>50</v>
      </c>
      <c r="P8" s="5"/>
    </row>
    <row r="9" spans="1:16" x14ac:dyDescent="0.3">
      <c r="A9">
        <v>3008</v>
      </c>
      <c r="B9" s="1">
        <v>46089</v>
      </c>
      <c r="C9" t="s">
        <v>1</v>
      </c>
      <c r="D9" t="s">
        <v>13</v>
      </c>
      <c r="E9" t="s">
        <v>14</v>
      </c>
      <c r="F9" t="s">
        <v>31</v>
      </c>
      <c r="G9" t="s">
        <v>32</v>
      </c>
      <c r="H9">
        <v>6</v>
      </c>
      <c r="I9">
        <v>60</v>
      </c>
      <c r="J9">
        <v>360</v>
      </c>
      <c r="K9" t="s">
        <v>29</v>
      </c>
      <c r="O9" s="5" t="s">
        <v>51</v>
      </c>
      <c r="P9" s="6" cm="1">
        <f t="array" ref="P9">SUM(IF(E2:E251="Female", J2:J251, 0))</f>
        <v>72455</v>
      </c>
    </row>
    <row r="10" spans="1:16" x14ac:dyDescent="0.3">
      <c r="A10">
        <v>3009</v>
      </c>
      <c r="B10" s="1">
        <v>46090</v>
      </c>
      <c r="C10" t="s">
        <v>23</v>
      </c>
      <c r="D10" t="s">
        <v>13</v>
      </c>
      <c r="E10" t="s">
        <v>30</v>
      </c>
      <c r="F10" t="s">
        <v>15</v>
      </c>
      <c r="G10" t="s">
        <v>16</v>
      </c>
      <c r="H10">
        <v>8</v>
      </c>
      <c r="I10">
        <v>40</v>
      </c>
      <c r="J10">
        <v>320</v>
      </c>
      <c r="K10" t="s">
        <v>29</v>
      </c>
    </row>
    <row r="11" spans="1:16" x14ac:dyDescent="0.3">
      <c r="A11">
        <v>3010</v>
      </c>
      <c r="B11" s="1">
        <v>46091</v>
      </c>
      <c r="C11" t="s">
        <v>2</v>
      </c>
      <c r="D11" t="s">
        <v>13</v>
      </c>
      <c r="E11" t="s">
        <v>14</v>
      </c>
      <c r="F11" t="s">
        <v>27</v>
      </c>
      <c r="G11" t="s">
        <v>28</v>
      </c>
      <c r="H11">
        <v>3</v>
      </c>
      <c r="I11">
        <v>35</v>
      </c>
      <c r="J11">
        <v>105</v>
      </c>
      <c r="K11" t="s">
        <v>29</v>
      </c>
    </row>
    <row r="12" spans="1:16" x14ac:dyDescent="0.3">
      <c r="A12">
        <v>3011</v>
      </c>
      <c r="B12" s="1">
        <v>46092</v>
      </c>
      <c r="C12" t="s">
        <v>33</v>
      </c>
      <c r="D12" t="s">
        <v>13</v>
      </c>
      <c r="E12" t="s">
        <v>14</v>
      </c>
      <c r="F12" t="s">
        <v>34</v>
      </c>
      <c r="G12" t="s">
        <v>35</v>
      </c>
      <c r="H12">
        <v>6</v>
      </c>
      <c r="I12">
        <v>250</v>
      </c>
      <c r="J12">
        <v>1500</v>
      </c>
      <c r="K12" t="s">
        <v>20</v>
      </c>
    </row>
    <row r="13" spans="1:16" x14ac:dyDescent="0.3">
      <c r="A13">
        <v>3012</v>
      </c>
      <c r="B13" s="1">
        <v>46093</v>
      </c>
      <c r="C13" t="s">
        <v>23</v>
      </c>
      <c r="D13" t="s">
        <v>18</v>
      </c>
      <c r="E13" t="s">
        <v>30</v>
      </c>
      <c r="F13" t="s">
        <v>27</v>
      </c>
      <c r="G13" t="s">
        <v>28</v>
      </c>
      <c r="H13">
        <v>8</v>
      </c>
      <c r="I13">
        <v>35</v>
      </c>
      <c r="J13">
        <v>280</v>
      </c>
      <c r="K13" t="s">
        <v>17</v>
      </c>
    </row>
    <row r="14" spans="1:16" x14ac:dyDescent="0.3">
      <c r="A14">
        <v>3013</v>
      </c>
      <c r="B14" s="1">
        <v>46094</v>
      </c>
      <c r="C14" t="s">
        <v>2</v>
      </c>
      <c r="D14" t="s">
        <v>18</v>
      </c>
      <c r="E14" t="s">
        <v>14</v>
      </c>
      <c r="F14" t="s">
        <v>24</v>
      </c>
      <c r="G14" t="s">
        <v>25</v>
      </c>
      <c r="H14">
        <v>10</v>
      </c>
      <c r="I14">
        <v>50</v>
      </c>
      <c r="J14">
        <v>500</v>
      </c>
      <c r="K14" t="s">
        <v>29</v>
      </c>
    </row>
    <row r="15" spans="1:16" x14ac:dyDescent="0.3">
      <c r="A15">
        <v>3014</v>
      </c>
      <c r="B15" s="1">
        <v>46095</v>
      </c>
      <c r="C15" t="s">
        <v>23</v>
      </c>
      <c r="D15" t="s">
        <v>18</v>
      </c>
      <c r="E15" t="s">
        <v>14</v>
      </c>
      <c r="F15" t="s">
        <v>24</v>
      </c>
      <c r="G15" t="s">
        <v>25</v>
      </c>
      <c r="H15">
        <v>7</v>
      </c>
      <c r="I15">
        <v>50</v>
      </c>
      <c r="J15">
        <v>350</v>
      </c>
      <c r="K15" t="s">
        <v>29</v>
      </c>
    </row>
    <row r="16" spans="1:16" x14ac:dyDescent="0.3">
      <c r="A16">
        <v>3015</v>
      </c>
      <c r="B16" s="1">
        <v>46096</v>
      </c>
      <c r="C16" t="s">
        <v>23</v>
      </c>
      <c r="D16" t="s">
        <v>13</v>
      </c>
      <c r="E16" t="s">
        <v>30</v>
      </c>
      <c r="F16" t="s">
        <v>26</v>
      </c>
      <c r="G16" t="s">
        <v>22</v>
      </c>
      <c r="H16">
        <v>1</v>
      </c>
      <c r="I16">
        <v>90</v>
      </c>
      <c r="J16">
        <v>90</v>
      </c>
      <c r="K16" t="s">
        <v>20</v>
      </c>
    </row>
    <row r="17" spans="1:11" x14ac:dyDescent="0.3">
      <c r="A17">
        <v>3016</v>
      </c>
      <c r="B17" s="1">
        <v>46097</v>
      </c>
      <c r="C17" t="s">
        <v>23</v>
      </c>
      <c r="D17" t="s">
        <v>13</v>
      </c>
      <c r="E17" t="s">
        <v>30</v>
      </c>
      <c r="F17" t="s">
        <v>26</v>
      </c>
      <c r="G17" t="s">
        <v>22</v>
      </c>
      <c r="H17">
        <v>2</v>
      </c>
      <c r="I17">
        <v>90</v>
      </c>
      <c r="J17">
        <v>180</v>
      </c>
      <c r="K17" t="s">
        <v>29</v>
      </c>
    </row>
    <row r="18" spans="1:11" x14ac:dyDescent="0.3">
      <c r="A18">
        <v>3017</v>
      </c>
      <c r="B18" s="1">
        <v>46098</v>
      </c>
      <c r="C18" t="s">
        <v>1</v>
      </c>
      <c r="D18" t="s">
        <v>13</v>
      </c>
      <c r="E18" t="s">
        <v>14</v>
      </c>
      <c r="F18" t="s">
        <v>36</v>
      </c>
      <c r="G18" t="s">
        <v>25</v>
      </c>
      <c r="H18">
        <v>1</v>
      </c>
      <c r="I18">
        <v>120</v>
      </c>
      <c r="J18">
        <v>120</v>
      </c>
      <c r="K18" t="s">
        <v>20</v>
      </c>
    </row>
    <row r="19" spans="1:11" x14ac:dyDescent="0.3">
      <c r="A19">
        <v>3018</v>
      </c>
      <c r="B19" s="1">
        <v>46099</v>
      </c>
      <c r="C19" t="s">
        <v>33</v>
      </c>
      <c r="D19" t="s">
        <v>13</v>
      </c>
      <c r="E19" t="s">
        <v>30</v>
      </c>
      <c r="F19" t="s">
        <v>15</v>
      </c>
      <c r="G19" t="s">
        <v>16</v>
      </c>
      <c r="H19">
        <v>7</v>
      </c>
      <c r="I19">
        <v>40</v>
      </c>
      <c r="J19">
        <v>280</v>
      </c>
      <c r="K19" t="s">
        <v>29</v>
      </c>
    </row>
    <row r="20" spans="1:11" x14ac:dyDescent="0.3">
      <c r="A20">
        <v>3019</v>
      </c>
      <c r="B20" s="1">
        <v>46100</v>
      </c>
      <c r="C20" t="s">
        <v>23</v>
      </c>
      <c r="D20" t="s">
        <v>18</v>
      </c>
      <c r="E20" t="s">
        <v>14</v>
      </c>
      <c r="F20" t="s">
        <v>37</v>
      </c>
      <c r="G20" t="s">
        <v>38</v>
      </c>
      <c r="H20">
        <v>7</v>
      </c>
      <c r="I20">
        <v>30</v>
      </c>
      <c r="J20">
        <v>210</v>
      </c>
      <c r="K20" t="s">
        <v>20</v>
      </c>
    </row>
    <row r="21" spans="1:11" x14ac:dyDescent="0.3">
      <c r="A21">
        <v>3020</v>
      </c>
      <c r="B21" s="1">
        <v>46101</v>
      </c>
      <c r="C21" t="s">
        <v>33</v>
      </c>
      <c r="D21" t="s">
        <v>18</v>
      </c>
      <c r="E21" t="s">
        <v>30</v>
      </c>
      <c r="F21" t="s">
        <v>34</v>
      </c>
      <c r="G21" t="s">
        <v>35</v>
      </c>
      <c r="H21">
        <v>7</v>
      </c>
      <c r="I21">
        <v>250</v>
      </c>
      <c r="J21">
        <v>1750</v>
      </c>
      <c r="K21" t="s">
        <v>17</v>
      </c>
    </row>
    <row r="22" spans="1:11" x14ac:dyDescent="0.3">
      <c r="A22">
        <v>3021</v>
      </c>
      <c r="B22" s="1">
        <v>46102</v>
      </c>
      <c r="C22" t="s">
        <v>1</v>
      </c>
      <c r="D22" t="s">
        <v>13</v>
      </c>
      <c r="E22" t="s">
        <v>14</v>
      </c>
      <c r="F22" t="s">
        <v>39</v>
      </c>
      <c r="G22" t="s">
        <v>28</v>
      </c>
      <c r="H22">
        <v>8</v>
      </c>
      <c r="I22">
        <v>25</v>
      </c>
      <c r="J22">
        <v>200</v>
      </c>
      <c r="K22" t="s">
        <v>29</v>
      </c>
    </row>
    <row r="23" spans="1:11" x14ac:dyDescent="0.3">
      <c r="A23">
        <v>3022</v>
      </c>
      <c r="B23" s="1">
        <v>46103</v>
      </c>
      <c r="C23" t="s">
        <v>33</v>
      </c>
      <c r="D23" t="s">
        <v>13</v>
      </c>
      <c r="E23" t="s">
        <v>30</v>
      </c>
      <c r="F23" t="s">
        <v>40</v>
      </c>
      <c r="G23" t="s">
        <v>35</v>
      </c>
      <c r="H23">
        <v>9</v>
      </c>
      <c r="I23">
        <v>300</v>
      </c>
      <c r="J23">
        <v>2700</v>
      </c>
      <c r="K23" t="s">
        <v>17</v>
      </c>
    </row>
    <row r="24" spans="1:11" x14ac:dyDescent="0.3">
      <c r="A24">
        <v>3023</v>
      </c>
      <c r="B24" s="1">
        <v>46104</v>
      </c>
      <c r="C24" t="s">
        <v>23</v>
      </c>
      <c r="D24" t="s">
        <v>18</v>
      </c>
      <c r="E24" t="s">
        <v>14</v>
      </c>
      <c r="F24" t="s">
        <v>41</v>
      </c>
      <c r="G24" t="s">
        <v>38</v>
      </c>
      <c r="H24">
        <v>4</v>
      </c>
      <c r="I24">
        <v>80</v>
      </c>
      <c r="J24">
        <v>320</v>
      </c>
      <c r="K24" t="s">
        <v>29</v>
      </c>
    </row>
    <row r="25" spans="1:11" x14ac:dyDescent="0.3">
      <c r="A25">
        <v>3024</v>
      </c>
      <c r="B25" s="1">
        <v>46105</v>
      </c>
      <c r="C25" t="s">
        <v>2</v>
      </c>
      <c r="D25" t="s">
        <v>13</v>
      </c>
      <c r="E25" t="s">
        <v>30</v>
      </c>
      <c r="F25" t="s">
        <v>21</v>
      </c>
      <c r="G25" t="s">
        <v>22</v>
      </c>
      <c r="H25">
        <v>2</v>
      </c>
      <c r="I25">
        <v>50</v>
      </c>
      <c r="J25">
        <v>100</v>
      </c>
      <c r="K25" t="s">
        <v>17</v>
      </c>
    </row>
    <row r="26" spans="1:11" x14ac:dyDescent="0.3">
      <c r="A26">
        <v>3025</v>
      </c>
      <c r="B26" s="1">
        <v>46106</v>
      </c>
      <c r="C26" t="s">
        <v>23</v>
      </c>
      <c r="D26" t="s">
        <v>13</v>
      </c>
      <c r="E26" t="s">
        <v>14</v>
      </c>
      <c r="F26" t="s">
        <v>37</v>
      </c>
      <c r="G26" t="s">
        <v>38</v>
      </c>
      <c r="H26">
        <v>6</v>
      </c>
      <c r="I26">
        <v>30</v>
      </c>
      <c r="J26">
        <v>180</v>
      </c>
      <c r="K26" t="s">
        <v>20</v>
      </c>
    </row>
    <row r="27" spans="1:11" x14ac:dyDescent="0.3">
      <c r="A27">
        <v>3026</v>
      </c>
      <c r="B27" s="1">
        <v>46107</v>
      </c>
      <c r="C27" t="s">
        <v>23</v>
      </c>
      <c r="D27" t="s">
        <v>18</v>
      </c>
      <c r="E27" t="s">
        <v>14</v>
      </c>
      <c r="F27" t="s">
        <v>39</v>
      </c>
      <c r="G27" t="s">
        <v>28</v>
      </c>
      <c r="H27">
        <v>8</v>
      </c>
      <c r="I27">
        <v>25</v>
      </c>
      <c r="J27">
        <v>200</v>
      </c>
      <c r="K27" t="s">
        <v>17</v>
      </c>
    </row>
    <row r="28" spans="1:11" x14ac:dyDescent="0.3">
      <c r="A28">
        <v>3027</v>
      </c>
      <c r="B28" s="1">
        <v>46108</v>
      </c>
      <c r="C28" t="s">
        <v>2</v>
      </c>
      <c r="D28" t="s">
        <v>13</v>
      </c>
      <c r="E28" t="s">
        <v>14</v>
      </c>
      <c r="F28" t="s">
        <v>42</v>
      </c>
      <c r="G28" t="s">
        <v>25</v>
      </c>
      <c r="H28">
        <v>8</v>
      </c>
      <c r="I28">
        <v>6</v>
      </c>
      <c r="J28">
        <v>48</v>
      </c>
      <c r="K28" t="s">
        <v>17</v>
      </c>
    </row>
    <row r="29" spans="1:11" x14ac:dyDescent="0.3">
      <c r="A29">
        <v>3028</v>
      </c>
      <c r="B29" s="1">
        <v>46109</v>
      </c>
      <c r="C29" t="s">
        <v>33</v>
      </c>
      <c r="D29" t="s">
        <v>18</v>
      </c>
      <c r="E29" t="s">
        <v>30</v>
      </c>
      <c r="F29" t="s">
        <v>39</v>
      </c>
      <c r="G29" t="s">
        <v>28</v>
      </c>
      <c r="H29">
        <v>5</v>
      </c>
      <c r="I29">
        <v>25</v>
      </c>
      <c r="J29">
        <v>125</v>
      </c>
      <c r="K29" t="s">
        <v>29</v>
      </c>
    </row>
    <row r="30" spans="1:11" x14ac:dyDescent="0.3">
      <c r="A30">
        <v>3029</v>
      </c>
      <c r="B30" s="1">
        <v>46110</v>
      </c>
      <c r="C30" t="s">
        <v>33</v>
      </c>
      <c r="D30" t="s">
        <v>18</v>
      </c>
      <c r="E30" t="s">
        <v>30</v>
      </c>
      <c r="F30" t="s">
        <v>24</v>
      </c>
      <c r="G30" t="s">
        <v>25</v>
      </c>
      <c r="H30">
        <v>10</v>
      </c>
      <c r="I30">
        <v>50</v>
      </c>
      <c r="J30">
        <v>500</v>
      </c>
      <c r="K30" t="s">
        <v>20</v>
      </c>
    </row>
    <row r="31" spans="1:11" x14ac:dyDescent="0.3">
      <c r="A31">
        <v>3030</v>
      </c>
      <c r="B31" s="1">
        <v>46111</v>
      </c>
      <c r="C31" t="s">
        <v>23</v>
      </c>
      <c r="D31" t="s">
        <v>18</v>
      </c>
      <c r="E31" t="s">
        <v>14</v>
      </c>
      <c r="F31" t="s">
        <v>43</v>
      </c>
      <c r="G31" t="s">
        <v>28</v>
      </c>
      <c r="H31">
        <v>1</v>
      </c>
      <c r="I31">
        <v>40</v>
      </c>
      <c r="J31">
        <v>40</v>
      </c>
      <c r="K31" t="s">
        <v>29</v>
      </c>
    </row>
    <row r="32" spans="1:11" x14ac:dyDescent="0.3">
      <c r="A32">
        <v>3031</v>
      </c>
      <c r="B32" s="1">
        <v>46082</v>
      </c>
      <c r="C32" t="s">
        <v>33</v>
      </c>
      <c r="D32" t="s">
        <v>18</v>
      </c>
      <c r="E32" t="s">
        <v>30</v>
      </c>
      <c r="F32" t="s">
        <v>19</v>
      </c>
      <c r="G32" t="s">
        <v>16</v>
      </c>
      <c r="H32">
        <v>1</v>
      </c>
      <c r="I32">
        <v>70</v>
      </c>
      <c r="J32">
        <v>70</v>
      </c>
      <c r="K32" t="s">
        <v>29</v>
      </c>
    </row>
    <row r="33" spans="1:11" x14ac:dyDescent="0.3">
      <c r="A33">
        <v>3032</v>
      </c>
      <c r="B33" s="1">
        <v>46083</v>
      </c>
      <c r="C33" t="s">
        <v>23</v>
      </c>
      <c r="D33" t="s">
        <v>18</v>
      </c>
      <c r="E33" t="s">
        <v>30</v>
      </c>
      <c r="F33" t="s">
        <v>27</v>
      </c>
      <c r="G33" t="s">
        <v>28</v>
      </c>
      <c r="H33">
        <v>6</v>
      </c>
      <c r="I33">
        <v>35</v>
      </c>
      <c r="J33">
        <v>210</v>
      </c>
      <c r="K33" t="s">
        <v>29</v>
      </c>
    </row>
    <row r="34" spans="1:11" x14ac:dyDescent="0.3">
      <c r="A34">
        <v>3033</v>
      </c>
      <c r="B34" s="1">
        <v>46084</v>
      </c>
      <c r="C34" t="s">
        <v>1</v>
      </c>
      <c r="D34" t="s">
        <v>18</v>
      </c>
      <c r="E34" t="s">
        <v>14</v>
      </c>
      <c r="F34" t="s">
        <v>15</v>
      </c>
      <c r="G34" t="s">
        <v>16</v>
      </c>
      <c r="H34">
        <v>4</v>
      </c>
      <c r="I34">
        <v>40</v>
      </c>
      <c r="J34">
        <v>160</v>
      </c>
      <c r="K34" t="s">
        <v>29</v>
      </c>
    </row>
    <row r="35" spans="1:11" x14ac:dyDescent="0.3">
      <c r="A35">
        <v>3034</v>
      </c>
      <c r="B35" s="1">
        <v>46085</v>
      </c>
      <c r="C35" t="s">
        <v>2</v>
      </c>
      <c r="D35" t="s">
        <v>18</v>
      </c>
      <c r="E35" t="s">
        <v>14</v>
      </c>
      <c r="F35" t="s">
        <v>27</v>
      </c>
      <c r="G35" t="s">
        <v>28</v>
      </c>
      <c r="H35">
        <v>8</v>
      </c>
      <c r="I35">
        <v>35</v>
      </c>
      <c r="J35">
        <v>280</v>
      </c>
      <c r="K35" t="s">
        <v>29</v>
      </c>
    </row>
    <row r="36" spans="1:11" x14ac:dyDescent="0.3">
      <c r="A36">
        <v>3035</v>
      </c>
      <c r="B36" s="1">
        <v>46086</v>
      </c>
      <c r="C36" t="s">
        <v>2</v>
      </c>
      <c r="D36" t="s">
        <v>18</v>
      </c>
      <c r="E36" t="s">
        <v>14</v>
      </c>
      <c r="F36" t="s">
        <v>40</v>
      </c>
      <c r="G36" t="s">
        <v>35</v>
      </c>
      <c r="H36">
        <v>9</v>
      </c>
      <c r="I36">
        <v>300</v>
      </c>
      <c r="J36">
        <v>2700</v>
      </c>
      <c r="K36" t="s">
        <v>29</v>
      </c>
    </row>
    <row r="37" spans="1:11" x14ac:dyDescent="0.3">
      <c r="A37">
        <v>3036</v>
      </c>
      <c r="B37" s="1">
        <v>46087</v>
      </c>
      <c r="C37" t="s">
        <v>2</v>
      </c>
      <c r="D37" t="s">
        <v>18</v>
      </c>
      <c r="E37" t="s">
        <v>30</v>
      </c>
      <c r="F37" t="s">
        <v>15</v>
      </c>
      <c r="G37" t="s">
        <v>16</v>
      </c>
      <c r="H37">
        <v>8</v>
      </c>
      <c r="I37">
        <v>40</v>
      </c>
      <c r="J37">
        <v>320</v>
      </c>
      <c r="K37" t="s">
        <v>17</v>
      </c>
    </row>
    <row r="38" spans="1:11" x14ac:dyDescent="0.3">
      <c r="A38">
        <v>3037</v>
      </c>
      <c r="B38" s="1">
        <v>46088</v>
      </c>
      <c r="C38" t="s">
        <v>23</v>
      </c>
      <c r="D38" t="s">
        <v>13</v>
      </c>
      <c r="E38" t="s">
        <v>14</v>
      </c>
      <c r="F38" t="s">
        <v>44</v>
      </c>
      <c r="G38" t="s">
        <v>25</v>
      </c>
      <c r="H38">
        <v>8</v>
      </c>
      <c r="I38">
        <v>200</v>
      </c>
      <c r="J38">
        <v>1600</v>
      </c>
      <c r="K38" t="s">
        <v>17</v>
      </c>
    </row>
    <row r="39" spans="1:11" x14ac:dyDescent="0.3">
      <c r="A39">
        <v>3038</v>
      </c>
      <c r="B39" s="1">
        <v>46089</v>
      </c>
      <c r="C39" t="s">
        <v>23</v>
      </c>
      <c r="D39" t="s">
        <v>13</v>
      </c>
      <c r="E39" t="s">
        <v>30</v>
      </c>
      <c r="F39" t="s">
        <v>41</v>
      </c>
      <c r="G39" t="s">
        <v>38</v>
      </c>
      <c r="H39">
        <v>10</v>
      </c>
      <c r="I39">
        <v>80</v>
      </c>
      <c r="J39">
        <v>800</v>
      </c>
      <c r="K39" t="s">
        <v>20</v>
      </c>
    </row>
    <row r="40" spans="1:11" x14ac:dyDescent="0.3">
      <c r="A40">
        <v>3039</v>
      </c>
      <c r="B40" s="1">
        <v>46090</v>
      </c>
      <c r="C40" t="s">
        <v>23</v>
      </c>
      <c r="D40" t="s">
        <v>18</v>
      </c>
      <c r="E40" t="s">
        <v>30</v>
      </c>
      <c r="F40" t="s">
        <v>26</v>
      </c>
      <c r="G40" t="s">
        <v>22</v>
      </c>
      <c r="H40">
        <v>1</v>
      </c>
      <c r="I40">
        <v>90</v>
      </c>
      <c r="J40">
        <v>90</v>
      </c>
      <c r="K40" t="s">
        <v>29</v>
      </c>
    </row>
    <row r="41" spans="1:11" x14ac:dyDescent="0.3">
      <c r="A41">
        <v>3040</v>
      </c>
      <c r="B41" s="1">
        <v>46091</v>
      </c>
      <c r="C41" t="s">
        <v>33</v>
      </c>
      <c r="D41" t="s">
        <v>13</v>
      </c>
      <c r="E41" t="s">
        <v>14</v>
      </c>
      <c r="F41" t="s">
        <v>15</v>
      </c>
      <c r="G41" t="s">
        <v>16</v>
      </c>
      <c r="H41">
        <v>9</v>
      </c>
      <c r="I41">
        <v>40</v>
      </c>
      <c r="J41">
        <v>360</v>
      </c>
      <c r="K41" t="s">
        <v>17</v>
      </c>
    </row>
    <row r="42" spans="1:11" x14ac:dyDescent="0.3">
      <c r="A42">
        <v>3041</v>
      </c>
      <c r="B42" s="1">
        <v>46092</v>
      </c>
      <c r="C42" t="s">
        <v>23</v>
      </c>
      <c r="D42" t="s">
        <v>18</v>
      </c>
      <c r="E42" t="s">
        <v>14</v>
      </c>
      <c r="F42" t="s">
        <v>24</v>
      </c>
      <c r="G42" t="s">
        <v>25</v>
      </c>
      <c r="H42">
        <v>7</v>
      </c>
      <c r="I42">
        <v>50</v>
      </c>
      <c r="J42">
        <v>350</v>
      </c>
      <c r="K42" t="s">
        <v>29</v>
      </c>
    </row>
    <row r="43" spans="1:11" x14ac:dyDescent="0.3">
      <c r="A43">
        <v>3042</v>
      </c>
      <c r="B43" s="1">
        <v>46093</v>
      </c>
      <c r="C43" t="s">
        <v>1</v>
      </c>
      <c r="D43" t="s">
        <v>13</v>
      </c>
      <c r="E43" t="s">
        <v>30</v>
      </c>
      <c r="F43" t="s">
        <v>42</v>
      </c>
      <c r="G43" t="s">
        <v>25</v>
      </c>
      <c r="H43">
        <v>10</v>
      </c>
      <c r="I43">
        <v>6</v>
      </c>
      <c r="J43">
        <v>60</v>
      </c>
      <c r="K43" t="s">
        <v>20</v>
      </c>
    </row>
    <row r="44" spans="1:11" x14ac:dyDescent="0.3">
      <c r="A44">
        <v>3043</v>
      </c>
      <c r="B44" s="1">
        <v>46094</v>
      </c>
      <c r="C44" t="s">
        <v>33</v>
      </c>
      <c r="D44" t="s">
        <v>13</v>
      </c>
      <c r="E44" t="s">
        <v>14</v>
      </c>
      <c r="F44" t="s">
        <v>26</v>
      </c>
      <c r="G44" t="s">
        <v>22</v>
      </c>
      <c r="H44">
        <v>3</v>
      </c>
      <c r="I44">
        <v>90</v>
      </c>
      <c r="J44">
        <v>270</v>
      </c>
      <c r="K44" t="s">
        <v>20</v>
      </c>
    </row>
    <row r="45" spans="1:11" x14ac:dyDescent="0.3">
      <c r="A45">
        <v>3044</v>
      </c>
      <c r="B45" s="1">
        <v>46095</v>
      </c>
      <c r="C45" t="s">
        <v>33</v>
      </c>
      <c r="D45" t="s">
        <v>18</v>
      </c>
      <c r="E45" t="s">
        <v>14</v>
      </c>
      <c r="F45" t="s">
        <v>36</v>
      </c>
      <c r="G45" t="s">
        <v>25</v>
      </c>
      <c r="H45">
        <v>6</v>
      </c>
      <c r="I45">
        <v>120</v>
      </c>
      <c r="J45">
        <v>720</v>
      </c>
      <c r="K45" t="s">
        <v>29</v>
      </c>
    </row>
    <row r="46" spans="1:11" x14ac:dyDescent="0.3">
      <c r="A46">
        <v>3045</v>
      </c>
      <c r="B46" s="1">
        <v>46096</v>
      </c>
      <c r="C46" t="s">
        <v>33</v>
      </c>
      <c r="D46" t="s">
        <v>18</v>
      </c>
      <c r="E46" t="s">
        <v>14</v>
      </c>
      <c r="F46" t="s">
        <v>34</v>
      </c>
      <c r="G46" t="s">
        <v>35</v>
      </c>
      <c r="H46">
        <v>10</v>
      </c>
      <c r="I46">
        <v>250</v>
      </c>
      <c r="J46">
        <v>2500</v>
      </c>
      <c r="K46" t="s">
        <v>29</v>
      </c>
    </row>
    <row r="47" spans="1:11" x14ac:dyDescent="0.3">
      <c r="A47">
        <v>3046</v>
      </c>
      <c r="B47" s="1">
        <v>46097</v>
      </c>
      <c r="C47" t="s">
        <v>23</v>
      </c>
      <c r="D47" t="s">
        <v>13</v>
      </c>
      <c r="E47" t="s">
        <v>30</v>
      </c>
      <c r="F47" t="s">
        <v>41</v>
      </c>
      <c r="G47" t="s">
        <v>38</v>
      </c>
      <c r="H47">
        <v>2</v>
      </c>
      <c r="I47">
        <v>80</v>
      </c>
      <c r="J47">
        <v>160</v>
      </c>
      <c r="K47" t="s">
        <v>17</v>
      </c>
    </row>
    <row r="48" spans="1:11" x14ac:dyDescent="0.3">
      <c r="A48">
        <v>3047</v>
      </c>
      <c r="B48" s="1">
        <v>46098</v>
      </c>
      <c r="C48" t="s">
        <v>23</v>
      </c>
      <c r="D48" t="s">
        <v>18</v>
      </c>
      <c r="E48" t="s">
        <v>14</v>
      </c>
      <c r="F48" t="s">
        <v>43</v>
      </c>
      <c r="G48" t="s">
        <v>28</v>
      </c>
      <c r="H48">
        <v>6</v>
      </c>
      <c r="I48">
        <v>40</v>
      </c>
      <c r="J48">
        <v>240</v>
      </c>
      <c r="K48" t="s">
        <v>20</v>
      </c>
    </row>
    <row r="49" spans="1:11" x14ac:dyDescent="0.3">
      <c r="A49">
        <v>3048</v>
      </c>
      <c r="B49" s="1">
        <v>46099</v>
      </c>
      <c r="C49" t="s">
        <v>1</v>
      </c>
      <c r="D49" t="s">
        <v>13</v>
      </c>
      <c r="E49" t="s">
        <v>14</v>
      </c>
      <c r="F49" t="s">
        <v>15</v>
      </c>
      <c r="G49" t="s">
        <v>16</v>
      </c>
      <c r="H49">
        <v>8</v>
      </c>
      <c r="I49">
        <v>40</v>
      </c>
      <c r="J49">
        <v>320</v>
      </c>
      <c r="K49" t="s">
        <v>17</v>
      </c>
    </row>
    <row r="50" spans="1:11" x14ac:dyDescent="0.3">
      <c r="A50">
        <v>3049</v>
      </c>
      <c r="B50" s="1">
        <v>46100</v>
      </c>
      <c r="C50" t="s">
        <v>2</v>
      </c>
      <c r="D50" t="s">
        <v>18</v>
      </c>
      <c r="E50" t="s">
        <v>30</v>
      </c>
      <c r="F50" t="s">
        <v>42</v>
      </c>
      <c r="G50" t="s">
        <v>25</v>
      </c>
      <c r="H50">
        <v>7</v>
      </c>
      <c r="I50">
        <v>6</v>
      </c>
      <c r="J50">
        <v>42</v>
      </c>
      <c r="K50" t="s">
        <v>17</v>
      </c>
    </row>
    <row r="51" spans="1:11" x14ac:dyDescent="0.3">
      <c r="A51">
        <v>3050</v>
      </c>
      <c r="B51" s="1">
        <v>46101</v>
      </c>
      <c r="C51" t="s">
        <v>1</v>
      </c>
      <c r="D51" t="s">
        <v>13</v>
      </c>
      <c r="E51" t="s">
        <v>30</v>
      </c>
      <c r="F51" t="s">
        <v>40</v>
      </c>
      <c r="G51" t="s">
        <v>35</v>
      </c>
      <c r="H51">
        <v>3</v>
      </c>
      <c r="I51">
        <v>300</v>
      </c>
      <c r="J51">
        <v>900</v>
      </c>
      <c r="K51" t="s">
        <v>17</v>
      </c>
    </row>
    <row r="52" spans="1:11" x14ac:dyDescent="0.3">
      <c r="A52">
        <v>3051</v>
      </c>
      <c r="B52" s="1">
        <v>46102</v>
      </c>
      <c r="C52" t="s">
        <v>2</v>
      </c>
      <c r="D52" t="s">
        <v>13</v>
      </c>
      <c r="E52" t="s">
        <v>30</v>
      </c>
      <c r="F52" t="s">
        <v>15</v>
      </c>
      <c r="G52" t="s">
        <v>16</v>
      </c>
      <c r="H52">
        <v>5</v>
      </c>
      <c r="I52">
        <v>40</v>
      </c>
      <c r="J52">
        <v>200</v>
      </c>
      <c r="K52" t="s">
        <v>17</v>
      </c>
    </row>
    <row r="53" spans="1:11" x14ac:dyDescent="0.3">
      <c r="A53">
        <v>3052</v>
      </c>
      <c r="B53" s="1">
        <v>46103</v>
      </c>
      <c r="C53" t="s">
        <v>23</v>
      </c>
      <c r="D53" t="s">
        <v>18</v>
      </c>
      <c r="E53" t="s">
        <v>30</v>
      </c>
      <c r="F53" t="s">
        <v>31</v>
      </c>
      <c r="G53" t="s">
        <v>32</v>
      </c>
      <c r="H53">
        <v>3</v>
      </c>
      <c r="I53">
        <v>60</v>
      </c>
      <c r="J53">
        <v>180</v>
      </c>
      <c r="K53" t="s">
        <v>29</v>
      </c>
    </row>
    <row r="54" spans="1:11" x14ac:dyDescent="0.3">
      <c r="A54">
        <v>3053</v>
      </c>
      <c r="B54" s="1">
        <v>46104</v>
      </c>
      <c r="C54" t="s">
        <v>1</v>
      </c>
      <c r="D54" t="s">
        <v>18</v>
      </c>
      <c r="E54" t="s">
        <v>30</v>
      </c>
      <c r="F54" t="s">
        <v>27</v>
      </c>
      <c r="G54" t="s">
        <v>28</v>
      </c>
      <c r="H54">
        <v>7</v>
      </c>
      <c r="I54">
        <v>35</v>
      </c>
      <c r="J54">
        <v>245</v>
      </c>
      <c r="K54" t="s">
        <v>20</v>
      </c>
    </row>
    <row r="55" spans="1:11" x14ac:dyDescent="0.3">
      <c r="A55">
        <v>3054</v>
      </c>
      <c r="B55" s="1">
        <v>46105</v>
      </c>
      <c r="C55" t="s">
        <v>33</v>
      </c>
      <c r="D55" t="s">
        <v>18</v>
      </c>
      <c r="E55" t="s">
        <v>30</v>
      </c>
      <c r="F55" t="s">
        <v>43</v>
      </c>
      <c r="G55" t="s">
        <v>28</v>
      </c>
      <c r="H55">
        <v>4</v>
      </c>
      <c r="I55">
        <v>40</v>
      </c>
      <c r="J55">
        <v>160</v>
      </c>
      <c r="K55" t="s">
        <v>17</v>
      </c>
    </row>
    <row r="56" spans="1:11" x14ac:dyDescent="0.3">
      <c r="A56">
        <v>3055</v>
      </c>
      <c r="B56" s="1">
        <v>46106</v>
      </c>
      <c r="C56" t="s">
        <v>23</v>
      </c>
      <c r="D56" t="s">
        <v>13</v>
      </c>
      <c r="E56" t="s">
        <v>30</v>
      </c>
      <c r="F56" t="s">
        <v>43</v>
      </c>
      <c r="G56" t="s">
        <v>28</v>
      </c>
      <c r="H56">
        <v>4</v>
      </c>
      <c r="I56">
        <v>40</v>
      </c>
      <c r="J56">
        <v>160</v>
      </c>
      <c r="K56" t="s">
        <v>29</v>
      </c>
    </row>
    <row r="57" spans="1:11" x14ac:dyDescent="0.3">
      <c r="A57">
        <v>3056</v>
      </c>
      <c r="B57" s="1">
        <v>46107</v>
      </c>
      <c r="C57" t="s">
        <v>2</v>
      </c>
      <c r="D57" t="s">
        <v>13</v>
      </c>
      <c r="E57" t="s">
        <v>14</v>
      </c>
      <c r="F57" t="s">
        <v>31</v>
      </c>
      <c r="G57" t="s">
        <v>32</v>
      </c>
      <c r="H57">
        <v>10</v>
      </c>
      <c r="I57">
        <v>60</v>
      </c>
      <c r="J57">
        <v>600</v>
      </c>
      <c r="K57" t="s">
        <v>29</v>
      </c>
    </row>
    <row r="58" spans="1:11" x14ac:dyDescent="0.3">
      <c r="A58">
        <v>3057</v>
      </c>
      <c r="B58" s="1">
        <v>46108</v>
      </c>
      <c r="C58" t="s">
        <v>33</v>
      </c>
      <c r="D58" t="s">
        <v>18</v>
      </c>
      <c r="E58" t="s">
        <v>30</v>
      </c>
      <c r="F58" t="s">
        <v>19</v>
      </c>
      <c r="G58" t="s">
        <v>16</v>
      </c>
      <c r="H58">
        <v>3</v>
      </c>
      <c r="I58">
        <v>70</v>
      </c>
      <c r="J58">
        <v>210</v>
      </c>
      <c r="K58" t="s">
        <v>20</v>
      </c>
    </row>
    <row r="59" spans="1:11" x14ac:dyDescent="0.3">
      <c r="A59">
        <v>3058</v>
      </c>
      <c r="B59" s="1">
        <v>46109</v>
      </c>
      <c r="C59" t="s">
        <v>1</v>
      </c>
      <c r="D59" t="s">
        <v>13</v>
      </c>
      <c r="E59" t="s">
        <v>14</v>
      </c>
      <c r="F59" t="s">
        <v>39</v>
      </c>
      <c r="G59" t="s">
        <v>28</v>
      </c>
      <c r="H59">
        <v>4</v>
      </c>
      <c r="I59">
        <v>25</v>
      </c>
      <c r="J59">
        <v>100</v>
      </c>
      <c r="K59" t="s">
        <v>29</v>
      </c>
    </row>
    <row r="60" spans="1:11" x14ac:dyDescent="0.3">
      <c r="A60">
        <v>3059</v>
      </c>
      <c r="B60" s="1">
        <v>46110</v>
      </c>
      <c r="C60" t="s">
        <v>1</v>
      </c>
      <c r="D60" t="s">
        <v>13</v>
      </c>
      <c r="E60" t="s">
        <v>14</v>
      </c>
      <c r="F60" t="s">
        <v>15</v>
      </c>
      <c r="G60" t="s">
        <v>16</v>
      </c>
      <c r="H60">
        <v>7</v>
      </c>
      <c r="I60">
        <v>40</v>
      </c>
      <c r="J60">
        <v>280</v>
      </c>
      <c r="K60" t="s">
        <v>29</v>
      </c>
    </row>
    <row r="61" spans="1:11" x14ac:dyDescent="0.3">
      <c r="A61">
        <v>3060</v>
      </c>
      <c r="B61" s="1">
        <v>46111</v>
      </c>
      <c r="C61" t="s">
        <v>33</v>
      </c>
      <c r="D61" t="s">
        <v>13</v>
      </c>
      <c r="E61" t="s">
        <v>14</v>
      </c>
      <c r="F61" t="s">
        <v>24</v>
      </c>
      <c r="G61" t="s">
        <v>25</v>
      </c>
      <c r="H61">
        <v>8</v>
      </c>
      <c r="I61">
        <v>50</v>
      </c>
      <c r="J61">
        <v>400</v>
      </c>
      <c r="K61" t="s">
        <v>20</v>
      </c>
    </row>
    <row r="62" spans="1:11" x14ac:dyDescent="0.3">
      <c r="A62">
        <v>3061</v>
      </c>
      <c r="B62" s="1">
        <v>46082</v>
      </c>
      <c r="C62" t="s">
        <v>23</v>
      </c>
      <c r="D62" t="s">
        <v>13</v>
      </c>
      <c r="E62" t="s">
        <v>14</v>
      </c>
      <c r="F62" t="s">
        <v>21</v>
      </c>
      <c r="G62" t="s">
        <v>22</v>
      </c>
      <c r="H62">
        <v>4</v>
      </c>
      <c r="I62">
        <v>50</v>
      </c>
      <c r="J62">
        <v>200</v>
      </c>
      <c r="K62" t="s">
        <v>29</v>
      </c>
    </row>
    <row r="63" spans="1:11" x14ac:dyDescent="0.3">
      <c r="A63">
        <v>3062</v>
      </c>
      <c r="B63" s="1">
        <v>46083</v>
      </c>
      <c r="C63" t="s">
        <v>33</v>
      </c>
      <c r="D63" t="s">
        <v>18</v>
      </c>
      <c r="E63" t="s">
        <v>14</v>
      </c>
      <c r="F63" t="s">
        <v>24</v>
      </c>
      <c r="G63" t="s">
        <v>25</v>
      </c>
      <c r="H63">
        <v>2</v>
      </c>
      <c r="I63">
        <v>50</v>
      </c>
      <c r="J63">
        <v>100</v>
      </c>
      <c r="K63" t="s">
        <v>17</v>
      </c>
    </row>
    <row r="64" spans="1:11" x14ac:dyDescent="0.3">
      <c r="A64">
        <v>3063</v>
      </c>
      <c r="B64" s="1">
        <v>46084</v>
      </c>
      <c r="C64" t="s">
        <v>2</v>
      </c>
      <c r="D64" t="s">
        <v>18</v>
      </c>
      <c r="E64" t="s">
        <v>14</v>
      </c>
      <c r="F64" t="s">
        <v>21</v>
      </c>
      <c r="G64" t="s">
        <v>22</v>
      </c>
      <c r="H64">
        <v>1</v>
      </c>
      <c r="I64">
        <v>50</v>
      </c>
      <c r="J64">
        <v>50</v>
      </c>
      <c r="K64" t="s">
        <v>17</v>
      </c>
    </row>
    <row r="65" spans="1:11" x14ac:dyDescent="0.3">
      <c r="A65">
        <v>3064</v>
      </c>
      <c r="B65" s="1">
        <v>46085</v>
      </c>
      <c r="C65" t="s">
        <v>33</v>
      </c>
      <c r="D65" t="s">
        <v>13</v>
      </c>
      <c r="E65" t="s">
        <v>14</v>
      </c>
      <c r="F65" t="s">
        <v>34</v>
      </c>
      <c r="G65" t="s">
        <v>35</v>
      </c>
      <c r="H65">
        <v>10</v>
      </c>
      <c r="I65">
        <v>250</v>
      </c>
      <c r="J65">
        <v>2500</v>
      </c>
      <c r="K65" t="s">
        <v>17</v>
      </c>
    </row>
    <row r="66" spans="1:11" x14ac:dyDescent="0.3">
      <c r="A66">
        <v>3065</v>
      </c>
      <c r="B66" s="1">
        <v>46086</v>
      </c>
      <c r="C66" t="s">
        <v>33</v>
      </c>
      <c r="D66" t="s">
        <v>13</v>
      </c>
      <c r="E66" t="s">
        <v>30</v>
      </c>
      <c r="F66" t="s">
        <v>27</v>
      </c>
      <c r="G66" t="s">
        <v>28</v>
      </c>
      <c r="H66">
        <v>6</v>
      </c>
      <c r="I66">
        <v>35</v>
      </c>
      <c r="J66">
        <v>210</v>
      </c>
      <c r="K66" t="s">
        <v>20</v>
      </c>
    </row>
    <row r="67" spans="1:11" x14ac:dyDescent="0.3">
      <c r="A67">
        <v>3066</v>
      </c>
      <c r="B67" s="1">
        <v>46087</v>
      </c>
      <c r="C67" t="s">
        <v>33</v>
      </c>
      <c r="D67" t="s">
        <v>18</v>
      </c>
      <c r="E67" t="s">
        <v>30</v>
      </c>
      <c r="F67" t="s">
        <v>27</v>
      </c>
      <c r="G67" t="s">
        <v>28</v>
      </c>
      <c r="H67">
        <v>6</v>
      </c>
      <c r="I67">
        <v>35</v>
      </c>
      <c r="J67">
        <v>210</v>
      </c>
      <c r="K67" t="s">
        <v>29</v>
      </c>
    </row>
    <row r="68" spans="1:11" x14ac:dyDescent="0.3">
      <c r="A68">
        <v>3067</v>
      </c>
      <c r="B68" s="1">
        <v>46088</v>
      </c>
      <c r="C68" t="s">
        <v>33</v>
      </c>
      <c r="D68" t="s">
        <v>18</v>
      </c>
      <c r="E68" t="s">
        <v>14</v>
      </c>
      <c r="F68" t="s">
        <v>44</v>
      </c>
      <c r="G68" t="s">
        <v>25</v>
      </c>
      <c r="H68">
        <v>1</v>
      </c>
      <c r="I68">
        <v>200</v>
      </c>
      <c r="J68">
        <v>200</v>
      </c>
      <c r="K68" t="s">
        <v>29</v>
      </c>
    </row>
    <row r="69" spans="1:11" x14ac:dyDescent="0.3">
      <c r="A69">
        <v>3068</v>
      </c>
      <c r="B69" s="1">
        <v>46089</v>
      </c>
      <c r="C69" t="s">
        <v>23</v>
      </c>
      <c r="D69" t="s">
        <v>13</v>
      </c>
      <c r="E69" t="s">
        <v>30</v>
      </c>
      <c r="F69" t="s">
        <v>21</v>
      </c>
      <c r="G69" t="s">
        <v>22</v>
      </c>
      <c r="H69">
        <v>8</v>
      </c>
      <c r="I69">
        <v>50</v>
      </c>
      <c r="J69">
        <v>400</v>
      </c>
      <c r="K69" t="s">
        <v>17</v>
      </c>
    </row>
    <row r="70" spans="1:11" x14ac:dyDescent="0.3">
      <c r="A70">
        <v>3069</v>
      </c>
      <c r="B70" s="1">
        <v>46090</v>
      </c>
      <c r="C70" t="s">
        <v>33</v>
      </c>
      <c r="D70" t="s">
        <v>18</v>
      </c>
      <c r="E70" t="s">
        <v>30</v>
      </c>
      <c r="F70" t="s">
        <v>31</v>
      </c>
      <c r="G70" t="s">
        <v>32</v>
      </c>
      <c r="H70">
        <v>2</v>
      </c>
      <c r="I70">
        <v>60</v>
      </c>
      <c r="J70">
        <v>120</v>
      </c>
      <c r="K70" t="s">
        <v>20</v>
      </c>
    </row>
    <row r="71" spans="1:11" x14ac:dyDescent="0.3">
      <c r="A71">
        <v>3070</v>
      </c>
      <c r="B71" s="1">
        <v>46091</v>
      </c>
      <c r="C71" t="s">
        <v>23</v>
      </c>
      <c r="D71" t="s">
        <v>18</v>
      </c>
      <c r="E71" t="s">
        <v>14</v>
      </c>
      <c r="F71" t="s">
        <v>31</v>
      </c>
      <c r="G71" t="s">
        <v>32</v>
      </c>
      <c r="H71">
        <v>1</v>
      </c>
      <c r="I71">
        <v>60</v>
      </c>
      <c r="J71">
        <v>60</v>
      </c>
      <c r="K71" t="s">
        <v>17</v>
      </c>
    </row>
    <row r="72" spans="1:11" x14ac:dyDescent="0.3">
      <c r="A72">
        <v>3071</v>
      </c>
      <c r="B72" s="1">
        <v>46092</v>
      </c>
      <c r="C72" t="s">
        <v>2</v>
      </c>
      <c r="D72" t="s">
        <v>13</v>
      </c>
      <c r="E72" t="s">
        <v>14</v>
      </c>
      <c r="F72" t="s">
        <v>40</v>
      </c>
      <c r="G72" t="s">
        <v>35</v>
      </c>
      <c r="H72">
        <v>2</v>
      </c>
      <c r="I72">
        <v>300</v>
      </c>
      <c r="J72">
        <v>600</v>
      </c>
      <c r="K72" t="s">
        <v>29</v>
      </c>
    </row>
    <row r="73" spans="1:11" x14ac:dyDescent="0.3">
      <c r="A73">
        <v>3072</v>
      </c>
      <c r="B73" s="1">
        <v>46093</v>
      </c>
      <c r="C73" t="s">
        <v>33</v>
      </c>
      <c r="D73" t="s">
        <v>13</v>
      </c>
      <c r="E73" t="s">
        <v>30</v>
      </c>
      <c r="F73" t="s">
        <v>36</v>
      </c>
      <c r="G73" t="s">
        <v>25</v>
      </c>
      <c r="H73">
        <v>1</v>
      </c>
      <c r="I73">
        <v>120</v>
      </c>
      <c r="J73">
        <v>120</v>
      </c>
      <c r="K73" t="s">
        <v>29</v>
      </c>
    </row>
    <row r="74" spans="1:11" x14ac:dyDescent="0.3">
      <c r="A74">
        <v>3073</v>
      </c>
      <c r="B74" s="1">
        <v>46094</v>
      </c>
      <c r="C74" t="s">
        <v>23</v>
      </c>
      <c r="D74" t="s">
        <v>18</v>
      </c>
      <c r="E74" t="s">
        <v>14</v>
      </c>
      <c r="F74" t="s">
        <v>42</v>
      </c>
      <c r="G74" t="s">
        <v>25</v>
      </c>
      <c r="H74">
        <v>9</v>
      </c>
      <c r="I74">
        <v>6</v>
      </c>
      <c r="J74">
        <v>54</v>
      </c>
      <c r="K74" t="s">
        <v>17</v>
      </c>
    </row>
    <row r="75" spans="1:11" x14ac:dyDescent="0.3">
      <c r="A75">
        <v>3074</v>
      </c>
      <c r="B75" s="1">
        <v>46095</v>
      </c>
      <c r="C75" t="s">
        <v>23</v>
      </c>
      <c r="D75" t="s">
        <v>13</v>
      </c>
      <c r="E75" t="s">
        <v>30</v>
      </c>
      <c r="F75" t="s">
        <v>41</v>
      </c>
      <c r="G75" t="s">
        <v>38</v>
      </c>
      <c r="H75">
        <v>5</v>
      </c>
      <c r="I75">
        <v>80</v>
      </c>
      <c r="J75">
        <v>400</v>
      </c>
      <c r="K75" t="s">
        <v>29</v>
      </c>
    </row>
    <row r="76" spans="1:11" x14ac:dyDescent="0.3">
      <c r="A76">
        <v>3075</v>
      </c>
      <c r="B76" s="1">
        <v>46096</v>
      </c>
      <c r="C76" t="s">
        <v>2</v>
      </c>
      <c r="D76" t="s">
        <v>13</v>
      </c>
      <c r="E76" t="s">
        <v>14</v>
      </c>
      <c r="F76" t="s">
        <v>15</v>
      </c>
      <c r="G76" t="s">
        <v>16</v>
      </c>
      <c r="H76">
        <v>4</v>
      </c>
      <c r="I76">
        <v>40</v>
      </c>
      <c r="J76">
        <v>160</v>
      </c>
      <c r="K76" t="s">
        <v>17</v>
      </c>
    </row>
    <row r="77" spans="1:11" x14ac:dyDescent="0.3">
      <c r="A77">
        <v>3076</v>
      </c>
      <c r="B77" s="1">
        <v>46097</v>
      </c>
      <c r="C77" t="s">
        <v>33</v>
      </c>
      <c r="D77" t="s">
        <v>13</v>
      </c>
      <c r="E77" t="s">
        <v>30</v>
      </c>
      <c r="F77" t="s">
        <v>41</v>
      </c>
      <c r="G77" t="s">
        <v>38</v>
      </c>
      <c r="H77">
        <v>10</v>
      </c>
      <c r="I77">
        <v>80</v>
      </c>
      <c r="J77">
        <v>800</v>
      </c>
      <c r="K77" t="s">
        <v>29</v>
      </c>
    </row>
    <row r="78" spans="1:11" x14ac:dyDescent="0.3">
      <c r="A78">
        <v>3077</v>
      </c>
      <c r="B78" s="1">
        <v>46098</v>
      </c>
      <c r="C78" t="s">
        <v>1</v>
      </c>
      <c r="D78" t="s">
        <v>13</v>
      </c>
      <c r="E78" t="s">
        <v>30</v>
      </c>
      <c r="F78" t="s">
        <v>26</v>
      </c>
      <c r="G78" t="s">
        <v>22</v>
      </c>
      <c r="H78">
        <v>10</v>
      </c>
      <c r="I78">
        <v>90</v>
      </c>
      <c r="J78">
        <v>900</v>
      </c>
      <c r="K78" t="s">
        <v>17</v>
      </c>
    </row>
    <row r="79" spans="1:11" x14ac:dyDescent="0.3">
      <c r="A79">
        <v>3078</v>
      </c>
      <c r="B79" s="1">
        <v>46099</v>
      </c>
      <c r="C79" t="s">
        <v>1</v>
      </c>
      <c r="D79" t="s">
        <v>13</v>
      </c>
      <c r="E79" t="s">
        <v>14</v>
      </c>
      <c r="F79" t="s">
        <v>42</v>
      </c>
      <c r="G79" t="s">
        <v>25</v>
      </c>
      <c r="H79">
        <v>9</v>
      </c>
      <c r="I79">
        <v>6</v>
      </c>
      <c r="J79">
        <v>54</v>
      </c>
      <c r="K79" t="s">
        <v>20</v>
      </c>
    </row>
    <row r="80" spans="1:11" x14ac:dyDescent="0.3">
      <c r="A80">
        <v>3079</v>
      </c>
      <c r="B80" s="1">
        <v>46100</v>
      </c>
      <c r="C80" t="s">
        <v>33</v>
      </c>
      <c r="D80" t="s">
        <v>18</v>
      </c>
      <c r="E80" t="s">
        <v>30</v>
      </c>
      <c r="F80" t="s">
        <v>19</v>
      </c>
      <c r="G80" t="s">
        <v>16</v>
      </c>
      <c r="H80">
        <v>2</v>
      </c>
      <c r="I80">
        <v>70</v>
      </c>
      <c r="J80">
        <v>140</v>
      </c>
      <c r="K80" t="s">
        <v>17</v>
      </c>
    </row>
    <row r="81" spans="1:11" x14ac:dyDescent="0.3">
      <c r="A81">
        <v>3080</v>
      </c>
      <c r="B81" s="1">
        <v>46101</v>
      </c>
      <c r="C81" t="s">
        <v>33</v>
      </c>
      <c r="D81" t="s">
        <v>18</v>
      </c>
      <c r="E81" t="s">
        <v>14</v>
      </c>
      <c r="F81" t="s">
        <v>36</v>
      </c>
      <c r="G81" t="s">
        <v>25</v>
      </c>
      <c r="H81">
        <v>4</v>
      </c>
      <c r="I81">
        <v>120</v>
      </c>
      <c r="J81">
        <v>480</v>
      </c>
      <c r="K81" t="s">
        <v>29</v>
      </c>
    </row>
    <row r="82" spans="1:11" x14ac:dyDescent="0.3">
      <c r="A82">
        <v>3081</v>
      </c>
      <c r="B82" s="1">
        <v>46102</v>
      </c>
      <c r="C82" t="s">
        <v>33</v>
      </c>
      <c r="D82" t="s">
        <v>13</v>
      </c>
      <c r="E82" t="s">
        <v>30</v>
      </c>
      <c r="F82" t="s">
        <v>27</v>
      </c>
      <c r="G82" t="s">
        <v>28</v>
      </c>
      <c r="H82">
        <v>6</v>
      </c>
      <c r="I82">
        <v>35</v>
      </c>
      <c r="J82">
        <v>210</v>
      </c>
      <c r="K82" t="s">
        <v>29</v>
      </c>
    </row>
    <row r="83" spans="1:11" x14ac:dyDescent="0.3">
      <c r="A83">
        <v>3082</v>
      </c>
      <c r="B83" s="1">
        <v>46103</v>
      </c>
      <c r="C83" t="s">
        <v>33</v>
      </c>
      <c r="D83" t="s">
        <v>18</v>
      </c>
      <c r="E83" t="s">
        <v>14</v>
      </c>
      <c r="F83" t="s">
        <v>15</v>
      </c>
      <c r="G83" t="s">
        <v>16</v>
      </c>
      <c r="H83">
        <v>2</v>
      </c>
      <c r="I83">
        <v>40</v>
      </c>
      <c r="J83">
        <v>80</v>
      </c>
      <c r="K83" t="s">
        <v>20</v>
      </c>
    </row>
    <row r="84" spans="1:11" x14ac:dyDescent="0.3">
      <c r="A84">
        <v>3083</v>
      </c>
      <c r="B84" s="1">
        <v>46104</v>
      </c>
      <c r="C84" t="s">
        <v>1</v>
      </c>
      <c r="D84" t="s">
        <v>18</v>
      </c>
      <c r="E84" t="s">
        <v>14</v>
      </c>
      <c r="F84" t="s">
        <v>31</v>
      </c>
      <c r="G84" t="s">
        <v>32</v>
      </c>
      <c r="H84">
        <v>10</v>
      </c>
      <c r="I84">
        <v>60</v>
      </c>
      <c r="J84">
        <v>600</v>
      </c>
      <c r="K84" t="s">
        <v>29</v>
      </c>
    </row>
    <row r="85" spans="1:11" x14ac:dyDescent="0.3">
      <c r="A85">
        <v>3084</v>
      </c>
      <c r="B85" s="1">
        <v>46105</v>
      </c>
      <c r="C85" t="s">
        <v>2</v>
      </c>
      <c r="D85" t="s">
        <v>18</v>
      </c>
      <c r="E85" t="s">
        <v>14</v>
      </c>
      <c r="F85" t="s">
        <v>41</v>
      </c>
      <c r="G85" t="s">
        <v>38</v>
      </c>
      <c r="H85">
        <v>10</v>
      </c>
      <c r="I85">
        <v>80</v>
      </c>
      <c r="J85">
        <v>800</v>
      </c>
      <c r="K85" t="s">
        <v>20</v>
      </c>
    </row>
    <row r="86" spans="1:11" x14ac:dyDescent="0.3">
      <c r="A86">
        <v>3085</v>
      </c>
      <c r="B86" s="1">
        <v>46106</v>
      </c>
      <c r="C86" t="s">
        <v>2</v>
      </c>
      <c r="D86" t="s">
        <v>18</v>
      </c>
      <c r="E86" t="s">
        <v>30</v>
      </c>
      <c r="F86" t="s">
        <v>21</v>
      </c>
      <c r="G86" t="s">
        <v>22</v>
      </c>
      <c r="H86">
        <v>3</v>
      </c>
      <c r="I86">
        <v>50</v>
      </c>
      <c r="J86">
        <v>150</v>
      </c>
      <c r="K86" t="s">
        <v>17</v>
      </c>
    </row>
    <row r="87" spans="1:11" x14ac:dyDescent="0.3">
      <c r="A87">
        <v>3086</v>
      </c>
      <c r="B87" s="1">
        <v>46107</v>
      </c>
      <c r="C87" t="s">
        <v>1</v>
      </c>
      <c r="D87" t="s">
        <v>13</v>
      </c>
      <c r="E87" t="s">
        <v>14</v>
      </c>
      <c r="F87" t="s">
        <v>15</v>
      </c>
      <c r="G87" t="s">
        <v>16</v>
      </c>
      <c r="H87">
        <v>5</v>
      </c>
      <c r="I87">
        <v>40</v>
      </c>
      <c r="J87">
        <v>200</v>
      </c>
      <c r="K87" t="s">
        <v>20</v>
      </c>
    </row>
    <row r="88" spans="1:11" x14ac:dyDescent="0.3">
      <c r="A88">
        <v>3087</v>
      </c>
      <c r="B88" s="1">
        <v>46108</v>
      </c>
      <c r="C88" t="s">
        <v>23</v>
      </c>
      <c r="D88" t="s">
        <v>13</v>
      </c>
      <c r="E88" t="s">
        <v>14</v>
      </c>
      <c r="F88" t="s">
        <v>34</v>
      </c>
      <c r="G88" t="s">
        <v>35</v>
      </c>
      <c r="H88">
        <v>10</v>
      </c>
      <c r="I88">
        <v>250</v>
      </c>
      <c r="J88">
        <v>2500</v>
      </c>
      <c r="K88" t="s">
        <v>20</v>
      </c>
    </row>
    <row r="89" spans="1:11" x14ac:dyDescent="0.3">
      <c r="A89">
        <v>3088</v>
      </c>
      <c r="B89" s="1">
        <v>46109</v>
      </c>
      <c r="C89" t="s">
        <v>1</v>
      </c>
      <c r="D89" t="s">
        <v>18</v>
      </c>
      <c r="E89" t="s">
        <v>14</v>
      </c>
      <c r="F89" t="s">
        <v>31</v>
      </c>
      <c r="G89" t="s">
        <v>32</v>
      </c>
      <c r="H89">
        <v>5</v>
      </c>
      <c r="I89">
        <v>60</v>
      </c>
      <c r="J89">
        <v>300</v>
      </c>
      <c r="K89" t="s">
        <v>29</v>
      </c>
    </row>
    <row r="90" spans="1:11" x14ac:dyDescent="0.3">
      <c r="A90">
        <v>3089</v>
      </c>
      <c r="B90" s="1">
        <v>46110</v>
      </c>
      <c r="C90" t="s">
        <v>2</v>
      </c>
      <c r="D90" t="s">
        <v>13</v>
      </c>
      <c r="E90" t="s">
        <v>30</v>
      </c>
      <c r="F90" t="s">
        <v>39</v>
      </c>
      <c r="G90" t="s">
        <v>28</v>
      </c>
      <c r="H90">
        <v>8</v>
      </c>
      <c r="I90">
        <v>25</v>
      </c>
      <c r="J90">
        <v>200</v>
      </c>
      <c r="K90" t="s">
        <v>20</v>
      </c>
    </row>
    <row r="91" spans="1:11" x14ac:dyDescent="0.3">
      <c r="A91">
        <v>3090</v>
      </c>
      <c r="B91" s="1">
        <v>46111</v>
      </c>
      <c r="C91" t="s">
        <v>23</v>
      </c>
      <c r="D91" t="s">
        <v>18</v>
      </c>
      <c r="E91" t="s">
        <v>30</v>
      </c>
      <c r="F91" t="s">
        <v>43</v>
      </c>
      <c r="G91" t="s">
        <v>28</v>
      </c>
      <c r="H91">
        <v>8</v>
      </c>
      <c r="I91">
        <v>40</v>
      </c>
      <c r="J91">
        <v>320</v>
      </c>
      <c r="K91" t="s">
        <v>17</v>
      </c>
    </row>
    <row r="92" spans="1:11" x14ac:dyDescent="0.3">
      <c r="A92">
        <v>3091</v>
      </c>
      <c r="B92" s="1">
        <v>46082</v>
      </c>
      <c r="C92" t="s">
        <v>23</v>
      </c>
      <c r="D92" t="s">
        <v>18</v>
      </c>
      <c r="E92" t="s">
        <v>14</v>
      </c>
      <c r="F92" t="s">
        <v>43</v>
      </c>
      <c r="G92" t="s">
        <v>28</v>
      </c>
      <c r="H92">
        <v>8</v>
      </c>
      <c r="I92">
        <v>40</v>
      </c>
      <c r="J92">
        <v>320</v>
      </c>
      <c r="K92" t="s">
        <v>20</v>
      </c>
    </row>
    <row r="93" spans="1:11" x14ac:dyDescent="0.3">
      <c r="A93">
        <v>3092</v>
      </c>
      <c r="B93" s="1">
        <v>46083</v>
      </c>
      <c r="C93" t="s">
        <v>2</v>
      </c>
      <c r="D93" t="s">
        <v>13</v>
      </c>
      <c r="E93" t="s">
        <v>14</v>
      </c>
      <c r="F93" t="s">
        <v>24</v>
      </c>
      <c r="G93" t="s">
        <v>25</v>
      </c>
      <c r="H93">
        <v>6</v>
      </c>
      <c r="I93">
        <v>50</v>
      </c>
      <c r="J93">
        <v>300</v>
      </c>
      <c r="K93" t="s">
        <v>17</v>
      </c>
    </row>
    <row r="94" spans="1:11" x14ac:dyDescent="0.3">
      <c r="A94">
        <v>3093</v>
      </c>
      <c r="B94" s="1">
        <v>46084</v>
      </c>
      <c r="C94" t="s">
        <v>33</v>
      </c>
      <c r="D94" t="s">
        <v>13</v>
      </c>
      <c r="E94" t="s">
        <v>14</v>
      </c>
      <c r="F94" t="s">
        <v>41</v>
      </c>
      <c r="G94" t="s">
        <v>38</v>
      </c>
      <c r="H94">
        <v>4</v>
      </c>
      <c r="I94">
        <v>80</v>
      </c>
      <c r="J94">
        <v>320</v>
      </c>
      <c r="K94" t="s">
        <v>29</v>
      </c>
    </row>
    <row r="95" spans="1:11" x14ac:dyDescent="0.3">
      <c r="A95">
        <v>3094</v>
      </c>
      <c r="B95" s="1">
        <v>46085</v>
      </c>
      <c r="C95" t="s">
        <v>23</v>
      </c>
      <c r="D95" t="s">
        <v>13</v>
      </c>
      <c r="E95" t="s">
        <v>14</v>
      </c>
      <c r="F95" t="s">
        <v>40</v>
      </c>
      <c r="G95" t="s">
        <v>35</v>
      </c>
      <c r="H95">
        <v>8</v>
      </c>
      <c r="I95">
        <v>300</v>
      </c>
      <c r="J95">
        <v>2400</v>
      </c>
      <c r="K95" t="s">
        <v>20</v>
      </c>
    </row>
    <row r="96" spans="1:11" x14ac:dyDescent="0.3">
      <c r="A96">
        <v>3095</v>
      </c>
      <c r="B96" s="1">
        <v>46086</v>
      </c>
      <c r="C96" t="s">
        <v>33</v>
      </c>
      <c r="D96" t="s">
        <v>13</v>
      </c>
      <c r="E96" t="s">
        <v>14</v>
      </c>
      <c r="F96" t="s">
        <v>21</v>
      </c>
      <c r="G96" t="s">
        <v>22</v>
      </c>
      <c r="H96">
        <v>9</v>
      </c>
      <c r="I96">
        <v>50</v>
      </c>
      <c r="J96">
        <v>450</v>
      </c>
      <c r="K96" t="s">
        <v>29</v>
      </c>
    </row>
    <row r="97" spans="1:11" x14ac:dyDescent="0.3">
      <c r="A97">
        <v>3096</v>
      </c>
      <c r="B97" s="1">
        <v>46087</v>
      </c>
      <c r="C97" t="s">
        <v>1</v>
      </c>
      <c r="D97" t="s">
        <v>13</v>
      </c>
      <c r="E97" t="s">
        <v>14</v>
      </c>
      <c r="F97" t="s">
        <v>34</v>
      </c>
      <c r="G97" t="s">
        <v>35</v>
      </c>
      <c r="H97">
        <v>4</v>
      </c>
      <c r="I97">
        <v>250</v>
      </c>
      <c r="J97">
        <v>1000</v>
      </c>
      <c r="K97" t="s">
        <v>29</v>
      </c>
    </row>
    <row r="98" spans="1:11" x14ac:dyDescent="0.3">
      <c r="A98">
        <v>3097</v>
      </c>
      <c r="B98" s="1">
        <v>46088</v>
      </c>
      <c r="C98" t="s">
        <v>23</v>
      </c>
      <c r="D98" t="s">
        <v>13</v>
      </c>
      <c r="E98" t="s">
        <v>30</v>
      </c>
      <c r="F98" t="s">
        <v>41</v>
      </c>
      <c r="G98" t="s">
        <v>38</v>
      </c>
      <c r="H98">
        <v>2</v>
      </c>
      <c r="I98">
        <v>80</v>
      </c>
      <c r="J98">
        <v>160</v>
      </c>
      <c r="K98" t="s">
        <v>20</v>
      </c>
    </row>
    <row r="99" spans="1:11" x14ac:dyDescent="0.3">
      <c r="A99">
        <v>3098</v>
      </c>
      <c r="B99" s="1">
        <v>46089</v>
      </c>
      <c r="C99" t="s">
        <v>23</v>
      </c>
      <c r="D99" t="s">
        <v>13</v>
      </c>
      <c r="E99" t="s">
        <v>30</v>
      </c>
      <c r="F99" t="s">
        <v>39</v>
      </c>
      <c r="G99" t="s">
        <v>28</v>
      </c>
      <c r="H99">
        <v>9</v>
      </c>
      <c r="I99">
        <v>25</v>
      </c>
      <c r="J99">
        <v>225</v>
      </c>
      <c r="K99" t="s">
        <v>17</v>
      </c>
    </row>
    <row r="100" spans="1:11" x14ac:dyDescent="0.3">
      <c r="A100">
        <v>3099</v>
      </c>
      <c r="B100" s="1">
        <v>46090</v>
      </c>
      <c r="C100" t="s">
        <v>33</v>
      </c>
      <c r="D100" t="s">
        <v>13</v>
      </c>
      <c r="E100" t="s">
        <v>14</v>
      </c>
      <c r="F100" t="s">
        <v>44</v>
      </c>
      <c r="G100" t="s">
        <v>25</v>
      </c>
      <c r="H100">
        <v>9</v>
      </c>
      <c r="I100">
        <v>200</v>
      </c>
      <c r="J100">
        <v>1800</v>
      </c>
      <c r="K100" t="s">
        <v>29</v>
      </c>
    </row>
    <row r="101" spans="1:11" x14ac:dyDescent="0.3">
      <c r="A101">
        <v>3100</v>
      </c>
      <c r="B101" s="1">
        <v>46091</v>
      </c>
      <c r="C101" t="s">
        <v>1</v>
      </c>
      <c r="D101" t="s">
        <v>13</v>
      </c>
      <c r="E101" t="s">
        <v>30</v>
      </c>
      <c r="F101" t="s">
        <v>19</v>
      </c>
      <c r="G101" t="s">
        <v>16</v>
      </c>
      <c r="H101">
        <v>9</v>
      </c>
      <c r="I101">
        <v>70</v>
      </c>
      <c r="J101">
        <v>630</v>
      </c>
      <c r="K101" t="s">
        <v>17</v>
      </c>
    </row>
    <row r="102" spans="1:11" x14ac:dyDescent="0.3">
      <c r="A102">
        <v>3101</v>
      </c>
      <c r="B102" s="1">
        <v>46092</v>
      </c>
      <c r="C102" t="s">
        <v>33</v>
      </c>
      <c r="D102" t="s">
        <v>13</v>
      </c>
      <c r="E102" t="s">
        <v>30</v>
      </c>
      <c r="F102" t="s">
        <v>40</v>
      </c>
      <c r="G102" t="s">
        <v>35</v>
      </c>
      <c r="H102">
        <v>5</v>
      </c>
      <c r="I102">
        <v>300</v>
      </c>
      <c r="J102">
        <v>1500</v>
      </c>
      <c r="K102" t="s">
        <v>20</v>
      </c>
    </row>
    <row r="103" spans="1:11" x14ac:dyDescent="0.3">
      <c r="A103">
        <v>3102</v>
      </c>
      <c r="B103" s="1">
        <v>46093</v>
      </c>
      <c r="C103" t="s">
        <v>33</v>
      </c>
      <c r="D103" t="s">
        <v>18</v>
      </c>
      <c r="E103" t="s">
        <v>14</v>
      </c>
      <c r="F103" t="s">
        <v>42</v>
      </c>
      <c r="G103" t="s">
        <v>25</v>
      </c>
      <c r="H103">
        <v>8</v>
      </c>
      <c r="I103">
        <v>6</v>
      </c>
      <c r="J103">
        <v>48</v>
      </c>
      <c r="K103" t="s">
        <v>29</v>
      </c>
    </row>
    <row r="104" spans="1:11" x14ac:dyDescent="0.3">
      <c r="A104">
        <v>3103</v>
      </c>
      <c r="B104" s="1">
        <v>46094</v>
      </c>
      <c r="C104" t="s">
        <v>33</v>
      </c>
      <c r="D104" t="s">
        <v>18</v>
      </c>
      <c r="E104" t="s">
        <v>14</v>
      </c>
      <c r="F104" t="s">
        <v>39</v>
      </c>
      <c r="G104" t="s">
        <v>28</v>
      </c>
      <c r="H104">
        <v>1</v>
      </c>
      <c r="I104">
        <v>25</v>
      </c>
      <c r="J104">
        <v>25</v>
      </c>
      <c r="K104" t="s">
        <v>29</v>
      </c>
    </row>
    <row r="105" spans="1:11" x14ac:dyDescent="0.3">
      <c r="A105">
        <v>3104</v>
      </c>
      <c r="B105" s="1">
        <v>46095</v>
      </c>
      <c r="C105" t="s">
        <v>23</v>
      </c>
      <c r="D105" t="s">
        <v>18</v>
      </c>
      <c r="E105" t="s">
        <v>30</v>
      </c>
      <c r="F105" t="s">
        <v>41</v>
      </c>
      <c r="G105" t="s">
        <v>38</v>
      </c>
      <c r="H105">
        <v>6</v>
      </c>
      <c r="I105">
        <v>80</v>
      </c>
      <c r="J105">
        <v>480</v>
      </c>
      <c r="K105" t="s">
        <v>20</v>
      </c>
    </row>
    <row r="106" spans="1:11" x14ac:dyDescent="0.3">
      <c r="A106">
        <v>3105</v>
      </c>
      <c r="B106" s="1">
        <v>46096</v>
      </c>
      <c r="C106" t="s">
        <v>23</v>
      </c>
      <c r="D106" t="s">
        <v>18</v>
      </c>
      <c r="E106" t="s">
        <v>30</v>
      </c>
      <c r="F106" t="s">
        <v>44</v>
      </c>
      <c r="G106" t="s">
        <v>25</v>
      </c>
      <c r="H106">
        <v>10</v>
      </c>
      <c r="I106">
        <v>200</v>
      </c>
      <c r="J106">
        <v>2000</v>
      </c>
      <c r="K106" t="s">
        <v>17</v>
      </c>
    </row>
    <row r="107" spans="1:11" x14ac:dyDescent="0.3">
      <c r="A107">
        <v>3106</v>
      </c>
      <c r="B107" s="1">
        <v>46097</v>
      </c>
      <c r="C107" t="s">
        <v>33</v>
      </c>
      <c r="D107" t="s">
        <v>13</v>
      </c>
      <c r="E107" t="s">
        <v>14</v>
      </c>
      <c r="F107" t="s">
        <v>43</v>
      </c>
      <c r="G107" t="s">
        <v>28</v>
      </c>
      <c r="H107">
        <v>4</v>
      </c>
      <c r="I107">
        <v>40</v>
      </c>
      <c r="J107">
        <v>160</v>
      </c>
      <c r="K107" t="s">
        <v>29</v>
      </c>
    </row>
    <row r="108" spans="1:11" x14ac:dyDescent="0.3">
      <c r="A108">
        <v>3107</v>
      </c>
      <c r="B108" s="1">
        <v>46098</v>
      </c>
      <c r="C108" t="s">
        <v>1</v>
      </c>
      <c r="D108" t="s">
        <v>13</v>
      </c>
      <c r="E108" t="s">
        <v>14</v>
      </c>
      <c r="F108" t="s">
        <v>31</v>
      </c>
      <c r="G108" t="s">
        <v>32</v>
      </c>
      <c r="H108">
        <v>1</v>
      </c>
      <c r="I108">
        <v>60</v>
      </c>
      <c r="J108">
        <v>60</v>
      </c>
      <c r="K108" t="s">
        <v>17</v>
      </c>
    </row>
    <row r="109" spans="1:11" x14ac:dyDescent="0.3">
      <c r="A109">
        <v>3108</v>
      </c>
      <c r="B109" s="1">
        <v>46099</v>
      </c>
      <c r="C109" t="s">
        <v>33</v>
      </c>
      <c r="D109" t="s">
        <v>18</v>
      </c>
      <c r="E109" t="s">
        <v>14</v>
      </c>
      <c r="F109" t="s">
        <v>37</v>
      </c>
      <c r="G109" t="s">
        <v>38</v>
      </c>
      <c r="H109">
        <v>8</v>
      </c>
      <c r="I109">
        <v>30</v>
      </c>
      <c r="J109">
        <v>240</v>
      </c>
      <c r="K109" t="s">
        <v>20</v>
      </c>
    </row>
    <row r="110" spans="1:11" x14ac:dyDescent="0.3">
      <c r="A110">
        <v>3109</v>
      </c>
      <c r="B110" s="1">
        <v>46100</v>
      </c>
      <c r="C110" t="s">
        <v>2</v>
      </c>
      <c r="D110" t="s">
        <v>18</v>
      </c>
      <c r="E110" t="s">
        <v>14</v>
      </c>
      <c r="F110" t="s">
        <v>24</v>
      </c>
      <c r="G110" t="s">
        <v>25</v>
      </c>
      <c r="H110">
        <v>10</v>
      </c>
      <c r="I110">
        <v>50</v>
      </c>
      <c r="J110">
        <v>500</v>
      </c>
      <c r="K110" t="s">
        <v>29</v>
      </c>
    </row>
    <row r="111" spans="1:11" x14ac:dyDescent="0.3">
      <c r="A111">
        <v>3110</v>
      </c>
      <c r="B111" s="1">
        <v>46101</v>
      </c>
      <c r="C111" t="s">
        <v>1</v>
      </c>
      <c r="D111" t="s">
        <v>18</v>
      </c>
      <c r="E111" t="s">
        <v>30</v>
      </c>
      <c r="F111" t="s">
        <v>21</v>
      </c>
      <c r="G111" t="s">
        <v>22</v>
      </c>
      <c r="H111">
        <v>6</v>
      </c>
      <c r="I111">
        <v>50</v>
      </c>
      <c r="J111">
        <v>300</v>
      </c>
      <c r="K111" t="s">
        <v>17</v>
      </c>
    </row>
    <row r="112" spans="1:11" x14ac:dyDescent="0.3">
      <c r="A112">
        <v>3111</v>
      </c>
      <c r="B112" s="1">
        <v>46102</v>
      </c>
      <c r="C112" t="s">
        <v>33</v>
      </c>
      <c r="D112" t="s">
        <v>18</v>
      </c>
      <c r="E112" t="s">
        <v>14</v>
      </c>
      <c r="F112" t="s">
        <v>41</v>
      </c>
      <c r="G112" t="s">
        <v>38</v>
      </c>
      <c r="H112">
        <v>1</v>
      </c>
      <c r="I112">
        <v>80</v>
      </c>
      <c r="J112">
        <v>80</v>
      </c>
      <c r="K112" t="s">
        <v>20</v>
      </c>
    </row>
    <row r="113" spans="1:11" x14ac:dyDescent="0.3">
      <c r="A113">
        <v>3112</v>
      </c>
      <c r="B113" s="1">
        <v>46103</v>
      </c>
      <c r="C113" t="s">
        <v>2</v>
      </c>
      <c r="D113" t="s">
        <v>18</v>
      </c>
      <c r="E113" t="s">
        <v>30</v>
      </c>
      <c r="F113" t="s">
        <v>36</v>
      </c>
      <c r="G113" t="s">
        <v>25</v>
      </c>
      <c r="H113">
        <v>1</v>
      </c>
      <c r="I113">
        <v>120</v>
      </c>
      <c r="J113">
        <v>120</v>
      </c>
      <c r="K113" t="s">
        <v>20</v>
      </c>
    </row>
    <row r="114" spans="1:11" x14ac:dyDescent="0.3">
      <c r="A114">
        <v>3113</v>
      </c>
      <c r="B114" s="1">
        <v>46104</v>
      </c>
      <c r="C114" t="s">
        <v>23</v>
      </c>
      <c r="D114" t="s">
        <v>13</v>
      </c>
      <c r="E114" t="s">
        <v>30</v>
      </c>
      <c r="F114" t="s">
        <v>43</v>
      </c>
      <c r="G114" t="s">
        <v>28</v>
      </c>
      <c r="H114">
        <v>9</v>
      </c>
      <c r="I114">
        <v>40</v>
      </c>
      <c r="J114">
        <v>360</v>
      </c>
      <c r="K114" t="s">
        <v>29</v>
      </c>
    </row>
    <row r="115" spans="1:11" x14ac:dyDescent="0.3">
      <c r="A115">
        <v>3114</v>
      </c>
      <c r="B115" s="1">
        <v>46105</v>
      </c>
      <c r="C115" t="s">
        <v>1</v>
      </c>
      <c r="D115" t="s">
        <v>13</v>
      </c>
      <c r="E115" t="s">
        <v>14</v>
      </c>
      <c r="F115" t="s">
        <v>39</v>
      </c>
      <c r="G115" t="s">
        <v>28</v>
      </c>
      <c r="H115">
        <v>5</v>
      </c>
      <c r="I115">
        <v>25</v>
      </c>
      <c r="J115">
        <v>125</v>
      </c>
      <c r="K115" t="s">
        <v>17</v>
      </c>
    </row>
    <row r="116" spans="1:11" x14ac:dyDescent="0.3">
      <c r="A116">
        <v>3115</v>
      </c>
      <c r="B116" s="1">
        <v>46106</v>
      </c>
      <c r="C116" t="s">
        <v>1</v>
      </c>
      <c r="D116" t="s">
        <v>13</v>
      </c>
      <c r="E116" t="s">
        <v>30</v>
      </c>
      <c r="F116" t="s">
        <v>21</v>
      </c>
      <c r="G116" t="s">
        <v>22</v>
      </c>
      <c r="H116">
        <v>4</v>
      </c>
      <c r="I116">
        <v>50</v>
      </c>
      <c r="J116">
        <v>200</v>
      </c>
      <c r="K116" t="s">
        <v>29</v>
      </c>
    </row>
    <row r="117" spans="1:11" x14ac:dyDescent="0.3">
      <c r="A117">
        <v>3116</v>
      </c>
      <c r="B117" s="1">
        <v>46107</v>
      </c>
      <c r="C117" t="s">
        <v>1</v>
      </c>
      <c r="D117" t="s">
        <v>18</v>
      </c>
      <c r="E117" t="s">
        <v>30</v>
      </c>
      <c r="F117" t="s">
        <v>21</v>
      </c>
      <c r="G117" t="s">
        <v>22</v>
      </c>
      <c r="H117">
        <v>1</v>
      </c>
      <c r="I117">
        <v>50</v>
      </c>
      <c r="J117">
        <v>50</v>
      </c>
      <c r="K117" t="s">
        <v>29</v>
      </c>
    </row>
    <row r="118" spans="1:11" x14ac:dyDescent="0.3">
      <c r="A118">
        <v>3117</v>
      </c>
      <c r="B118" s="1">
        <v>46108</v>
      </c>
      <c r="C118" t="s">
        <v>2</v>
      </c>
      <c r="D118" t="s">
        <v>18</v>
      </c>
      <c r="E118" t="s">
        <v>14</v>
      </c>
      <c r="F118" t="s">
        <v>31</v>
      </c>
      <c r="G118" t="s">
        <v>32</v>
      </c>
      <c r="H118">
        <v>7</v>
      </c>
      <c r="I118">
        <v>60</v>
      </c>
      <c r="J118">
        <v>420</v>
      </c>
      <c r="K118" t="s">
        <v>17</v>
      </c>
    </row>
    <row r="119" spans="1:11" x14ac:dyDescent="0.3">
      <c r="A119">
        <v>3118</v>
      </c>
      <c r="B119" s="1">
        <v>46109</v>
      </c>
      <c r="C119" t="s">
        <v>33</v>
      </c>
      <c r="D119" t="s">
        <v>13</v>
      </c>
      <c r="E119" t="s">
        <v>30</v>
      </c>
      <c r="F119" t="s">
        <v>21</v>
      </c>
      <c r="G119" t="s">
        <v>22</v>
      </c>
      <c r="H119">
        <v>9</v>
      </c>
      <c r="I119">
        <v>50</v>
      </c>
      <c r="J119">
        <v>450</v>
      </c>
      <c r="K119" t="s">
        <v>20</v>
      </c>
    </row>
    <row r="120" spans="1:11" x14ac:dyDescent="0.3">
      <c r="A120">
        <v>3119</v>
      </c>
      <c r="B120" s="1">
        <v>46110</v>
      </c>
      <c r="C120" t="s">
        <v>2</v>
      </c>
      <c r="D120" t="s">
        <v>13</v>
      </c>
      <c r="E120" t="s">
        <v>30</v>
      </c>
      <c r="F120" t="s">
        <v>27</v>
      </c>
      <c r="G120" t="s">
        <v>28</v>
      </c>
      <c r="H120">
        <v>5</v>
      </c>
      <c r="I120">
        <v>35</v>
      </c>
      <c r="J120">
        <v>175</v>
      </c>
      <c r="K120" t="s">
        <v>20</v>
      </c>
    </row>
    <row r="121" spans="1:11" x14ac:dyDescent="0.3">
      <c r="A121">
        <v>3120</v>
      </c>
      <c r="B121" s="1">
        <v>46111</v>
      </c>
      <c r="C121" t="s">
        <v>33</v>
      </c>
      <c r="D121" t="s">
        <v>18</v>
      </c>
      <c r="E121" t="s">
        <v>14</v>
      </c>
      <c r="F121" t="s">
        <v>43</v>
      </c>
      <c r="G121" t="s">
        <v>28</v>
      </c>
      <c r="H121">
        <v>10</v>
      </c>
      <c r="I121">
        <v>40</v>
      </c>
      <c r="J121">
        <v>400</v>
      </c>
      <c r="K121" t="s">
        <v>20</v>
      </c>
    </row>
    <row r="122" spans="1:11" x14ac:dyDescent="0.3">
      <c r="A122">
        <v>3121</v>
      </c>
      <c r="B122" s="1">
        <v>46082</v>
      </c>
      <c r="C122" t="s">
        <v>1</v>
      </c>
      <c r="D122" t="s">
        <v>13</v>
      </c>
      <c r="E122" t="s">
        <v>14</v>
      </c>
      <c r="F122" t="s">
        <v>27</v>
      </c>
      <c r="G122" t="s">
        <v>28</v>
      </c>
      <c r="H122">
        <v>4</v>
      </c>
      <c r="I122">
        <v>35</v>
      </c>
      <c r="J122">
        <v>140</v>
      </c>
      <c r="K122" t="s">
        <v>29</v>
      </c>
    </row>
    <row r="123" spans="1:11" x14ac:dyDescent="0.3">
      <c r="A123">
        <v>3122</v>
      </c>
      <c r="B123" s="1">
        <v>46083</v>
      </c>
      <c r="C123" t="s">
        <v>1</v>
      </c>
      <c r="D123" t="s">
        <v>18</v>
      </c>
      <c r="E123" t="s">
        <v>14</v>
      </c>
      <c r="F123" t="s">
        <v>40</v>
      </c>
      <c r="G123" t="s">
        <v>35</v>
      </c>
      <c r="H123">
        <v>6</v>
      </c>
      <c r="I123">
        <v>300</v>
      </c>
      <c r="J123">
        <v>1800</v>
      </c>
      <c r="K123" t="s">
        <v>29</v>
      </c>
    </row>
    <row r="124" spans="1:11" x14ac:dyDescent="0.3">
      <c r="A124">
        <v>3123</v>
      </c>
      <c r="B124" s="1">
        <v>46084</v>
      </c>
      <c r="C124" t="s">
        <v>1</v>
      </c>
      <c r="D124" t="s">
        <v>18</v>
      </c>
      <c r="E124" t="s">
        <v>14</v>
      </c>
      <c r="F124" t="s">
        <v>41</v>
      </c>
      <c r="G124" t="s">
        <v>38</v>
      </c>
      <c r="H124">
        <v>10</v>
      </c>
      <c r="I124">
        <v>80</v>
      </c>
      <c r="J124">
        <v>800</v>
      </c>
      <c r="K124" t="s">
        <v>20</v>
      </c>
    </row>
    <row r="125" spans="1:11" x14ac:dyDescent="0.3">
      <c r="A125">
        <v>3124</v>
      </c>
      <c r="B125" s="1">
        <v>46085</v>
      </c>
      <c r="C125" t="s">
        <v>23</v>
      </c>
      <c r="D125" t="s">
        <v>13</v>
      </c>
      <c r="E125" t="s">
        <v>14</v>
      </c>
      <c r="F125" t="s">
        <v>39</v>
      </c>
      <c r="G125" t="s">
        <v>28</v>
      </c>
      <c r="H125">
        <v>4</v>
      </c>
      <c r="I125">
        <v>25</v>
      </c>
      <c r="J125">
        <v>100</v>
      </c>
      <c r="K125" t="s">
        <v>29</v>
      </c>
    </row>
    <row r="126" spans="1:11" x14ac:dyDescent="0.3">
      <c r="A126">
        <v>3125</v>
      </c>
      <c r="B126" s="1">
        <v>46086</v>
      </c>
      <c r="C126" t="s">
        <v>33</v>
      </c>
      <c r="D126" t="s">
        <v>18</v>
      </c>
      <c r="E126" t="s">
        <v>14</v>
      </c>
      <c r="F126" t="s">
        <v>42</v>
      </c>
      <c r="G126" t="s">
        <v>25</v>
      </c>
      <c r="H126">
        <v>5</v>
      </c>
      <c r="I126">
        <v>6</v>
      </c>
      <c r="J126">
        <v>30</v>
      </c>
      <c r="K126" t="s">
        <v>29</v>
      </c>
    </row>
    <row r="127" spans="1:11" x14ac:dyDescent="0.3">
      <c r="A127">
        <v>3126</v>
      </c>
      <c r="B127" s="1">
        <v>46087</v>
      </c>
      <c r="C127" t="s">
        <v>33</v>
      </c>
      <c r="D127" t="s">
        <v>13</v>
      </c>
      <c r="E127" t="s">
        <v>30</v>
      </c>
      <c r="F127" t="s">
        <v>24</v>
      </c>
      <c r="G127" t="s">
        <v>25</v>
      </c>
      <c r="H127">
        <v>4</v>
      </c>
      <c r="I127">
        <v>50</v>
      </c>
      <c r="J127">
        <v>200</v>
      </c>
      <c r="K127" t="s">
        <v>29</v>
      </c>
    </row>
    <row r="128" spans="1:11" x14ac:dyDescent="0.3">
      <c r="A128">
        <v>3127</v>
      </c>
      <c r="B128" s="1">
        <v>46088</v>
      </c>
      <c r="C128" t="s">
        <v>33</v>
      </c>
      <c r="D128" t="s">
        <v>13</v>
      </c>
      <c r="E128" t="s">
        <v>30</v>
      </c>
      <c r="F128" t="s">
        <v>34</v>
      </c>
      <c r="G128" t="s">
        <v>35</v>
      </c>
      <c r="H128">
        <v>1</v>
      </c>
      <c r="I128">
        <v>250</v>
      </c>
      <c r="J128">
        <v>250</v>
      </c>
      <c r="K128" t="s">
        <v>17</v>
      </c>
    </row>
    <row r="129" spans="1:11" x14ac:dyDescent="0.3">
      <c r="A129">
        <v>3128</v>
      </c>
      <c r="B129" s="1">
        <v>46089</v>
      </c>
      <c r="C129" t="s">
        <v>1</v>
      </c>
      <c r="D129" t="s">
        <v>18</v>
      </c>
      <c r="E129" t="s">
        <v>30</v>
      </c>
      <c r="F129" t="s">
        <v>36</v>
      </c>
      <c r="G129" t="s">
        <v>25</v>
      </c>
      <c r="H129">
        <v>3</v>
      </c>
      <c r="I129">
        <v>120</v>
      </c>
      <c r="J129">
        <v>360</v>
      </c>
      <c r="K129" t="s">
        <v>20</v>
      </c>
    </row>
    <row r="130" spans="1:11" x14ac:dyDescent="0.3">
      <c r="A130">
        <v>3129</v>
      </c>
      <c r="B130" s="1">
        <v>46090</v>
      </c>
      <c r="C130" t="s">
        <v>33</v>
      </c>
      <c r="D130" t="s">
        <v>18</v>
      </c>
      <c r="E130" t="s">
        <v>30</v>
      </c>
      <c r="F130" t="s">
        <v>39</v>
      </c>
      <c r="G130" t="s">
        <v>28</v>
      </c>
      <c r="H130">
        <v>7</v>
      </c>
      <c r="I130">
        <v>25</v>
      </c>
      <c r="J130">
        <v>175</v>
      </c>
      <c r="K130" t="s">
        <v>20</v>
      </c>
    </row>
    <row r="131" spans="1:11" x14ac:dyDescent="0.3">
      <c r="A131">
        <v>3130</v>
      </c>
      <c r="B131" s="1">
        <v>46091</v>
      </c>
      <c r="C131" t="s">
        <v>23</v>
      </c>
      <c r="D131" t="s">
        <v>13</v>
      </c>
      <c r="E131" t="s">
        <v>30</v>
      </c>
      <c r="F131" t="s">
        <v>44</v>
      </c>
      <c r="G131" t="s">
        <v>25</v>
      </c>
      <c r="H131">
        <v>9</v>
      </c>
      <c r="I131">
        <v>200</v>
      </c>
      <c r="J131">
        <v>1800</v>
      </c>
      <c r="K131" t="s">
        <v>29</v>
      </c>
    </row>
    <row r="132" spans="1:11" x14ac:dyDescent="0.3">
      <c r="A132">
        <v>3131</v>
      </c>
      <c r="B132" s="1">
        <v>46092</v>
      </c>
      <c r="C132" t="s">
        <v>1</v>
      </c>
      <c r="D132" t="s">
        <v>13</v>
      </c>
      <c r="E132" t="s">
        <v>14</v>
      </c>
      <c r="F132" t="s">
        <v>15</v>
      </c>
      <c r="G132" t="s">
        <v>16</v>
      </c>
      <c r="H132">
        <v>6</v>
      </c>
      <c r="I132">
        <v>40</v>
      </c>
      <c r="J132">
        <v>240</v>
      </c>
      <c r="K132" t="s">
        <v>17</v>
      </c>
    </row>
    <row r="133" spans="1:11" x14ac:dyDescent="0.3">
      <c r="A133">
        <v>3132</v>
      </c>
      <c r="B133" s="1">
        <v>46093</v>
      </c>
      <c r="C133" t="s">
        <v>33</v>
      </c>
      <c r="D133" t="s">
        <v>13</v>
      </c>
      <c r="E133" t="s">
        <v>14</v>
      </c>
      <c r="F133" t="s">
        <v>26</v>
      </c>
      <c r="G133" t="s">
        <v>22</v>
      </c>
      <c r="H133">
        <v>6</v>
      </c>
      <c r="I133">
        <v>90</v>
      </c>
      <c r="J133">
        <v>540</v>
      </c>
      <c r="K133" t="s">
        <v>17</v>
      </c>
    </row>
    <row r="134" spans="1:11" x14ac:dyDescent="0.3">
      <c r="A134">
        <v>3133</v>
      </c>
      <c r="B134" s="1">
        <v>46094</v>
      </c>
      <c r="C134" t="s">
        <v>1</v>
      </c>
      <c r="D134" t="s">
        <v>13</v>
      </c>
      <c r="E134" t="s">
        <v>30</v>
      </c>
      <c r="F134" t="s">
        <v>21</v>
      </c>
      <c r="G134" t="s">
        <v>22</v>
      </c>
      <c r="H134">
        <v>4</v>
      </c>
      <c r="I134">
        <v>50</v>
      </c>
      <c r="J134">
        <v>200</v>
      </c>
      <c r="K134" t="s">
        <v>29</v>
      </c>
    </row>
    <row r="135" spans="1:11" x14ac:dyDescent="0.3">
      <c r="A135">
        <v>3134</v>
      </c>
      <c r="B135" s="1">
        <v>46095</v>
      </c>
      <c r="C135" t="s">
        <v>23</v>
      </c>
      <c r="D135" t="s">
        <v>18</v>
      </c>
      <c r="E135" t="s">
        <v>30</v>
      </c>
      <c r="F135" t="s">
        <v>42</v>
      </c>
      <c r="G135" t="s">
        <v>25</v>
      </c>
      <c r="H135">
        <v>7</v>
      </c>
      <c r="I135">
        <v>6</v>
      </c>
      <c r="J135">
        <v>42</v>
      </c>
      <c r="K135" t="s">
        <v>29</v>
      </c>
    </row>
    <row r="136" spans="1:11" x14ac:dyDescent="0.3">
      <c r="A136">
        <v>3135</v>
      </c>
      <c r="B136" s="1">
        <v>46096</v>
      </c>
      <c r="C136" t="s">
        <v>2</v>
      </c>
      <c r="D136" t="s">
        <v>18</v>
      </c>
      <c r="E136" t="s">
        <v>14</v>
      </c>
      <c r="F136" t="s">
        <v>15</v>
      </c>
      <c r="G136" t="s">
        <v>16</v>
      </c>
      <c r="H136">
        <v>9</v>
      </c>
      <c r="I136">
        <v>40</v>
      </c>
      <c r="J136">
        <v>360</v>
      </c>
      <c r="K136" t="s">
        <v>17</v>
      </c>
    </row>
    <row r="137" spans="1:11" x14ac:dyDescent="0.3">
      <c r="A137">
        <v>3136</v>
      </c>
      <c r="B137" s="1">
        <v>46097</v>
      </c>
      <c r="C137" t="s">
        <v>23</v>
      </c>
      <c r="D137" t="s">
        <v>13</v>
      </c>
      <c r="E137" t="s">
        <v>14</v>
      </c>
      <c r="F137" t="s">
        <v>41</v>
      </c>
      <c r="G137" t="s">
        <v>38</v>
      </c>
      <c r="H137">
        <v>7</v>
      </c>
      <c r="I137">
        <v>80</v>
      </c>
      <c r="J137">
        <v>560</v>
      </c>
      <c r="K137" t="s">
        <v>20</v>
      </c>
    </row>
    <row r="138" spans="1:11" x14ac:dyDescent="0.3">
      <c r="A138">
        <v>3137</v>
      </c>
      <c r="B138" s="1">
        <v>46098</v>
      </c>
      <c r="C138" t="s">
        <v>1</v>
      </c>
      <c r="D138" t="s">
        <v>13</v>
      </c>
      <c r="E138" t="s">
        <v>30</v>
      </c>
      <c r="F138" t="s">
        <v>15</v>
      </c>
      <c r="G138" t="s">
        <v>16</v>
      </c>
      <c r="H138">
        <v>2</v>
      </c>
      <c r="I138">
        <v>40</v>
      </c>
      <c r="J138">
        <v>80</v>
      </c>
      <c r="K138" t="s">
        <v>17</v>
      </c>
    </row>
    <row r="139" spans="1:11" x14ac:dyDescent="0.3">
      <c r="A139">
        <v>3138</v>
      </c>
      <c r="B139" s="1">
        <v>46099</v>
      </c>
      <c r="C139" t="s">
        <v>1</v>
      </c>
      <c r="D139" t="s">
        <v>13</v>
      </c>
      <c r="E139" t="s">
        <v>14</v>
      </c>
      <c r="F139" t="s">
        <v>24</v>
      </c>
      <c r="G139" t="s">
        <v>25</v>
      </c>
      <c r="H139">
        <v>9</v>
      </c>
      <c r="I139">
        <v>50</v>
      </c>
      <c r="J139">
        <v>450</v>
      </c>
      <c r="K139" t="s">
        <v>17</v>
      </c>
    </row>
    <row r="140" spans="1:11" x14ac:dyDescent="0.3">
      <c r="A140">
        <v>3139</v>
      </c>
      <c r="B140" s="1">
        <v>46100</v>
      </c>
      <c r="C140" t="s">
        <v>2</v>
      </c>
      <c r="D140" t="s">
        <v>18</v>
      </c>
      <c r="E140" t="s">
        <v>14</v>
      </c>
      <c r="F140" t="s">
        <v>42</v>
      </c>
      <c r="G140" t="s">
        <v>25</v>
      </c>
      <c r="H140">
        <v>8</v>
      </c>
      <c r="I140">
        <v>6</v>
      </c>
      <c r="J140">
        <v>48</v>
      </c>
      <c r="K140" t="s">
        <v>17</v>
      </c>
    </row>
    <row r="141" spans="1:11" x14ac:dyDescent="0.3">
      <c r="A141">
        <v>3140</v>
      </c>
      <c r="B141" s="1">
        <v>46101</v>
      </c>
      <c r="C141" t="s">
        <v>2</v>
      </c>
      <c r="D141" t="s">
        <v>13</v>
      </c>
      <c r="E141" t="s">
        <v>30</v>
      </c>
      <c r="F141" t="s">
        <v>21</v>
      </c>
      <c r="G141" t="s">
        <v>22</v>
      </c>
      <c r="H141">
        <v>9</v>
      </c>
      <c r="I141">
        <v>50</v>
      </c>
      <c r="J141">
        <v>450</v>
      </c>
      <c r="K141" t="s">
        <v>17</v>
      </c>
    </row>
    <row r="142" spans="1:11" x14ac:dyDescent="0.3">
      <c r="A142">
        <v>3141</v>
      </c>
      <c r="B142" s="1">
        <v>46102</v>
      </c>
      <c r="C142" t="s">
        <v>1</v>
      </c>
      <c r="D142" t="s">
        <v>13</v>
      </c>
      <c r="E142" t="s">
        <v>14</v>
      </c>
      <c r="F142" t="s">
        <v>37</v>
      </c>
      <c r="G142" t="s">
        <v>38</v>
      </c>
      <c r="H142">
        <v>7</v>
      </c>
      <c r="I142">
        <v>30</v>
      </c>
      <c r="J142">
        <v>210</v>
      </c>
      <c r="K142" t="s">
        <v>17</v>
      </c>
    </row>
    <row r="143" spans="1:11" x14ac:dyDescent="0.3">
      <c r="A143">
        <v>3142</v>
      </c>
      <c r="B143" s="1">
        <v>46103</v>
      </c>
      <c r="C143" t="s">
        <v>1</v>
      </c>
      <c r="D143" t="s">
        <v>13</v>
      </c>
      <c r="E143" t="s">
        <v>30</v>
      </c>
      <c r="F143" t="s">
        <v>39</v>
      </c>
      <c r="G143" t="s">
        <v>28</v>
      </c>
      <c r="H143">
        <v>9</v>
      </c>
      <c r="I143">
        <v>25</v>
      </c>
      <c r="J143">
        <v>225</v>
      </c>
      <c r="K143" t="s">
        <v>17</v>
      </c>
    </row>
    <row r="144" spans="1:11" x14ac:dyDescent="0.3">
      <c r="A144">
        <v>3143</v>
      </c>
      <c r="B144" s="1">
        <v>46104</v>
      </c>
      <c r="C144" t="s">
        <v>2</v>
      </c>
      <c r="D144" t="s">
        <v>18</v>
      </c>
      <c r="E144" t="s">
        <v>30</v>
      </c>
      <c r="F144" t="s">
        <v>39</v>
      </c>
      <c r="G144" t="s">
        <v>28</v>
      </c>
      <c r="H144">
        <v>1</v>
      </c>
      <c r="I144">
        <v>25</v>
      </c>
      <c r="J144">
        <v>25</v>
      </c>
      <c r="K144" t="s">
        <v>17</v>
      </c>
    </row>
    <row r="145" spans="1:11" x14ac:dyDescent="0.3">
      <c r="A145">
        <v>3144</v>
      </c>
      <c r="B145" s="1">
        <v>46105</v>
      </c>
      <c r="C145" t="s">
        <v>2</v>
      </c>
      <c r="D145" t="s">
        <v>18</v>
      </c>
      <c r="E145" t="s">
        <v>30</v>
      </c>
      <c r="F145" t="s">
        <v>37</v>
      </c>
      <c r="G145" t="s">
        <v>38</v>
      </c>
      <c r="H145">
        <v>3</v>
      </c>
      <c r="I145">
        <v>30</v>
      </c>
      <c r="J145">
        <v>90</v>
      </c>
      <c r="K145" t="s">
        <v>20</v>
      </c>
    </row>
    <row r="146" spans="1:11" x14ac:dyDescent="0.3">
      <c r="A146">
        <v>3145</v>
      </c>
      <c r="B146" s="1">
        <v>46106</v>
      </c>
      <c r="C146" t="s">
        <v>2</v>
      </c>
      <c r="D146" t="s">
        <v>13</v>
      </c>
      <c r="E146" t="s">
        <v>14</v>
      </c>
      <c r="F146" t="s">
        <v>37</v>
      </c>
      <c r="G146" t="s">
        <v>38</v>
      </c>
      <c r="H146">
        <v>9</v>
      </c>
      <c r="I146">
        <v>30</v>
      </c>
      <c r="J146">
        <v>270</v>
      </c>
      <c r="K146" t="s">
        <v>17</v>
      </c>
    </row>
    <row r="147" spans="1:11" x14ac:dyDescent="0.3">
      <c r="A147">
        <v>3146</v>
      </c>
      <c r="B147" s="1">
        <v>46107</v>
      </c>
      <c r="C147" t="s">
        <v>2</v>
      </c>
      <c r="D147" t="s">
        <v>13</v>
      </c>
      <c r="E147" t="s">
        <v>14</v>
      </c>
      <c r="F147" t="s">
        <v>24</v>
      </c>
      <c r="G147" t="s">
        <v>25</v>
      </c>
      <c r="H147">
        <v>8</v>
      </c>
      <c r="I147">
        <v>50</v>
      </c>
      <c r="J147">
        <v>400</v>
      </c>
      <c r="K147" t="s">
        <v>20</v>
      </c>
    </row>
    <row r="148" spans="1:11" x14ac:dyDescent="0.3">
      <c r="A148">
        <v>3147</v>
      </c>
      <c r="B148" s="1">
        <v>46108</v>
      </c>
      <c r="C148" t="s">
        <v>2</v>
      </c>
      <c r="D148" t="s">
        <v>18</v>
      </c>
      <c r="E148" t="s">
        <v>14</v>
      </c>
      <c r="F148" t="s">
        <v>31</v>
      </c>
      <c r="G148" t="s">
        <v>32</v>
      </c>
      <c r="H148">
        <v>4</v>
      </c>
      <c r="I148">
        <v>60</v>
      </c>
      <c r="J148">
        <v>240</v>
      </c>
      <c r="K148" t="s">
        <v>17</v>
      </c>
    </row>
    <row r="149" spans="1:11" x14ac:dyDescent="0.3">
      <c r="A149">
        <v>3148</v>
      </c>
      <c r="B149" s="1">
        <v>46109</v>
      </c>
      <c r="C149" t="s">
        <v>23</v>
      </c>
      <c r="D149" t="s">
        <v>18</v>
      </c>
      <c r="E149" t="s">
        <v>14</v>
      </c>
      <c r="F149" t="s">
        <v>41</v>
      </c>
      <c r="G149" t="s">
        <v>38</v>
      </c>
      <c r="H149">
        <v>7</v>
      </c>
      <c r="I149">
        <v>80</v>
      </c>
      <c r="J149">
        <v>560</v>
      </c>
      <c r="K149" t="s">
        <v>20</v>
      </c>
    </row>
    <row r="150" spans="1:11" x14ac:dyDescent="0.3">
      <c r="A150">
        <v>3149</v>
      </c>
      <c r="B150" s="1">
        <v>46110</v>
      </c>
      <c r="C150" t="s">
        <v>33</v>
      </c>
      <c r="D150" t="s">
        <v>18</v>
      </c>
      <c r="E150" t="s">
        <v>14</v>
      </c>
      <c r="F150" t="s">
        <v>43</v>
      </c>
      <c r="G150" t="s">
        <v>28</v>
      </c>
      <c r="H150">
        <v>10</v>
      </c>
      <c r="I150">
        <v>40</v>
      </c>
      <c r="J150">
        <v>400</v>
      </c>
      <c r="K150" t="s">
        <v>17</v>
      </c>
    </row>
    <row r="151" spans="1:11" x14ac:dyDescent="0.3">
      <c r="A151">
        <v>3150</v>
      </c>
      <c r="B151" s="1">
        <v>46111</v>
      </c>
      <c r="C151" t="s">
        <v>1</v>
      </c>
      <c r="D151" t="s">
        <v>18</v>
      </c>
      <c r="E151" t="s">
        <v>30</v>
      </c>
      <c r="F151" t="s">
        <v>27</v>
      </c>
      <c r="G151" t="s">
        <v>28</v>
      </c>
      <c r="H151">
        <v>9</v>
      </c>
      <c r="I151">
        <v>35</v>
      </c>
      <c r="J151">
        <v>315</v>
      </c>
      <c r="K151" t="s">
        <v>17</v>
      </c>
    </row>
    <row r="152" spans="1:11" x14ac:dyDescent="0.3">
      <c r="A152">
        <v>3151</v>
      </c>
      <c r="B152" s="1">
        <v>46082</v>
      </c>
      <c r="C152" t="s">
        <v>2</v>
      </c>
      <c r="D152" t="s">
        <v>18</v>
      </c>
      <c r="E152" t="s">
        <v>30</v>
      </c>
      <c r="F152" t="s">
        <v>21</v>
      </c>
      <c r="G152" t="s">
        <v>22</v>
      </c>
      <c r="H152">
        <v>9</v>
      </c>
      <c r="I152">
        <v>50</v>
      </c>
      <c r="J152">
        <v>450</v>
      </c>
      <c r="K152" t="s">
        <v>17</v>
      </c>
    </row>
    <row r="153" spans="1:11" x14ac:dyDescent="0.3">
      <c r="A153">
        <v>3152</v>
      </c>
      <c r="B153" s="1">
        <v>46083</v>
      </c>
      <c r="C153" t="s">
        <v>1</v>
      </c>
      <c r="D153" t="s">
        <v>18</v>
      </c>
      <c r="E153" t="s">
        <v>14</v>
      </c>
      <c r="F153" t="s">
        <v>26</v>
      </c>
      <c r="G153" t="s">
        <v>22</v>
      </c>
      <c r="H153">
        <v>8</v>
      </c>
      <c r="I153">
        <v>90</v>
      </c>
      <c r="J153">
        <v>720</v>
      </c>
      <c r="K153" t="s">
        <v>29</v>
      </c>
    </row>
    <row r="154" spans="1:11" x14ac:dyDescent="0.3">
      <c r="A154">
        <v>3153</v>
      </c>
      <c r="B154" s="1">
        <v>46084</v>
      </c>
      <c r="C154" t="s">
        <v>1</v>
      </c>
      <c r="D154" t="s">
        <v>13</v>
      </c>
      <c r="E154" t="s">
        <v>30</v>
      </c>
      <c r="F154" t="s">
        <v>15</v>
      </c>
      <c r="G154" t="s">
        <v>16</v>
      </c>
      <c r="H154">
        <v>10</v>
      </c>
      <c r="I154">
        <v>40</v>
      </c>
      <c r="J154">
        <v>400</v>
      </c>
      <c r="K154" t="s">
        <v>20</v>
      </c>
    </row>
    <row r="155" spans="1:11" x14ac:dyDescent="0.3">
      <c r="A155">
        <v>3154</v>
      </c>
      <c r="B155" s="1">
        <v>46085</v>
      </c>
      <c r="C155" t="s">
        <v>23</v>
      </c>
      <c r="D155" t="s">
        <v>13</v>
      </c>
      <c r="E155" t="s">
        <v>14</v>
      </c>
      <c r="F155" t="s">
        <v>34</v>
      </c>
      <c r="G155" t="s">
        <v>35</v>
      </c>
      <c r="H155">
        <v>4</v>
      </c>
      <c r="I155">
        <v>250</v>
      </c>
      <c r="J155">
        <v>1000</v>
      </c>
      <c r="K155" t="s">
        <v>29</v>
      </c>
    </row>
    <row r="156" spans="1:11" x14ac:dyDescent="0.3">
      <c r="A156">
        <v>3155</v>
      </c>
      <c r="B156" s="1">
        <v>46086</v>
      </c>
      <c r="C156" t="s">
        <v>1</v>
      </c>
      <c r="D156" t="s">
        <v>13</v>
      </c>
      <c r="E156" t="s">
        <v>30</v>
      </c>
      <c r="F156" t="s">
        <v>34</v>
      </c>
      <c r="G156" t="s">
        <v>35</v>
      </c>
      <c r="H156">
        <v>7</v>
      </c>
      <c r="I156">
        <v>250</v>
      </c>
      <c r="J156">
        <v>1750</v>
      </c>
      <c r="K156" t="s">
        <v>17</v>
      </c>
    </row>
    <row r="157" spans="1:11" x14ac:dyDescent="0.3">
      <c r="A157">
        <v>3156</v>
      </c>
      <c r="B157" s="1">
        <v>46087</v>
      </c>
      <c r="C157" t="s">
        <v>23</v>
      </c>
      <c r="D157" t="s">
        <v>13</v>
      </c>
      <c r="E157" t="s">
        <v>30</v>
      </c>
      <c r="F157" t="s">
        <v>39</v>
      </c>
      <c r="G157" t="s">
        <v>28</v>
      </c>
      <c r="H157">
        <v>7</v>
      </c>
      <c r="I157">
        <v>25</v>
      </c>
      <c r="J157">
        <v>175</v>
      </c>
      <c r="K157" t="s">
        <v>20</v>
      </c>
    </row>
    <row r="158" spans="1:11" x14ac:dyDescent="0.3">
      <c r="A158">
        <v>3157</v>
      </c>
      <c r="B158" s="1">
        <v>46088</v>
      </c>
      <c r="C158" t="s">
        <v>2</v>
      </c>
      <c r="D158" t="s">
        <v>18</v>
      </c>
      <c r="E158" t="s">
        <v>14</v>
      </c>
      <c r="F158" t="s">
        <v>15</v>
      </c>
      <c r="G158" t="s">
        <v>16</v>
      </c>
      <c r="H158">
        <v>10</v>
      </c>
      <c r="I158">
        <v>40</v>
      </c>
      <c r="J158">
        <v>400</v>
      </c>
      <c r="K158" t="s">
        <v>17</v>
      </c>
    </row>
    <row r="159" spans="1:11" x14ac:dyDescent="0.3">
      <c r="A159">
        <v>3158</v>
      </c>
      <c r="B159" s="1">
        <v>46089</v>
      </c>
      <c r="C159" t="s">
        <v>23</v>
      </c>
      <c r="D159" t="s">
        <v>13</v>
      </c>
      <c r="E159" t="s">
        <v>14</v>
      </c>
      <c r="F159" t="s">
        <v>41</v>
      </c>
      <c r="G159" t="s">
        <v>38</v>
      </c>
      <c r="H159">
        <v>6</v>
      </c>
      <c r="I159">
        <v>80</v>
      </c>
      <c r="J159">
        <v>480</v>
      </c>
      <c r="K159" t="s">
        <v>29</v>
      </c>
    </row>
    <row r="160" spans="1:11" x14ac:dyDescent="0.3">
      <c r="A160">
        <v>3159</v>
      </c>
      <c r="B160" s="1">
        <v>46090</v>
      </c>
      <c r="C160" t="s">
        <v>33</v>
      </c>
      <c r="D160" t="s">
        <v>13</v>
      </c>
      <c r="E160" t="s">
        <v>30</v>
      </c>
      <c r="F160" t="s">
        <v>37</v>
      </c>
      <c r="G160" t="s">
        <v>38</v>
      </c>
      <c r="H160">
        <v>9</v>
      </c>
      <c r="I160">
        <v>30</v>
      </c>
      <c r="J160">
        <v>270</v>
      </c>
      <c r="K160" t="s">
        <v>29</v>
      </c>
    </row>
    <row r="161" spans="1:11" x14ac:dyDescent="0.3">
      <c r="A161">
        <v>3160</v>
      </c>
      <c r="B161" s="1">
        <v>46091</v>
      </c>
      <c r="C161" t="s">
        <v>33</v>
      </c>
      <c r="D161" t="s">
        <v>13</v>
      </c>
      <c r="E161" t="s">
        <v>14</v>
      </c>
      <c r="F161" t="s">
        <v>26</v>
      </c>
      <c r="G161" t="s">
        <v>22</v>
      </c>
      <c r="H161">
        <v>9</v>
      </c>
      <c r="I161">
        <v>90</v>
      </c>
      <c r="J161">
        <v>810</v>
      </c>
      <c r="K161" t="s">
        <v>29</v>
      </c>
    </row>
    <row r="162" spans="1:11" x14ac:dyDescent="0.3">
      <c r="A162">
        <v>3161</v>
      </c>
      <c r="B162" s="1">
        <v>46092</v>
      </c>
      <c r="C162" t="s">
        <v>33</v>
      </c>
      <c r="D162" t="s">
        <v>13</v>
      </c>
      <c r="E162" t="s">
        <v>30</v>
      </c>
      <c r="F162" t="s">
        <v>43</v>
      </c>
      <c r="G162" t="s">
        <v>28</v>
      </c>
      <c r="H162">
        <v>9</v>
      </c>
      <c r="I162">
        <v>40</v>
      </c>
      <c r="J162">
        <v>360</v>
      </c>
      <c r="K162" t="s">
        <v>20</v>
      </c>
    </row>
    <row r="163" spans="1:11" x14ac:dyDescent="0.3">
      <c r="A163">
        <v>3162</v>
      </c>
      <c r="B163" s="1">
        <v>46093</v>
      </c>
      <c r="C163" t="s">
        <v>33</v>
      </c>
      <c r="D163" t="s">
        <v>13</v>
      </c>
      <c r="E163" t="s">
        <v>14</v>
      </c>
      <c r="F163" t="s">
        <v>39</v>
      </c>
      <c r="G163" t="s">
        <v>28</v>
      </c>
      <c r="H163">
        <v>10</v>
      </c>
      <c r="I163">
        <v>25</v>
      </c>
      <c r="J163">
        <v>250</v>
      </c>
      <c r="K163" t="s">
        <v>17</v>
      </c>
    </row>
    <row r="164" spans="1:11" x14ac:dyDescent="0.3">
      <c r="A164">
        <v>3163</v>
      </c>
      <c r="B164" s="1">
        <v>46094</v>
      </c>
      <c r="C164" t="s">
        <v>33</v>
      </c>
      <c r="D164" t="s">
        <v>18</v>
      </c>
      <c r="E164" t="s">
        <v>14</v>
      </c>
      <c r="F164" t="s">
        <v>26</v>
      </c>
      <c r="G164" t="s">
        <v>22</v>
      </c>
      <c r="H164">
        <v>7</v>
      </c>
      <c r="I164">
        <v>90</v>
      </c>
      <c r="J164">
        <v>630</v>
      </c>
      <c r="K164" t="s">
        <v>29</v>
      </c>
    </row>
    <row r="165" spans="1:11" x14ac:dyDescent="0.3">
      <c r="A165">
        <v>3164</v>
      </c>
      <c r="B165" s="1">
        <v>46095</v>
      </c>
      <c r="C165" t="s">
        <v>2</v>
      </c>
      <c r="D165" t="s">
        <v>13</v>
      </c>
      <c r="E165" t="s">
        <v>14</v>
      </c>
      <c r="F165" t="s">
        <v>44</v>
      </c>
      <c r="G165" t="s">
        <v>25</v>
      </c>
      <c r="H165">
        <v>3</v>
      </c>
      <c r="I165">
        <v>200</v>
      </c>
      <c r="J165">
        <v>600</v>
      </c>
      <c r="K165" t="s">
        <v>20</v>
      </c>
    </row>
    <row r="166" spans="1:11" x14ac:dyDescent="0.3">
      <c r="A166">
        <v>3165</v>
      </c>
      <c r="B166" s="1">
        <v>46096</v>
      </c>
      <c r="C166" t="s">
        <v>33</v>
      </c>
      <c r="D166" t="s">
        <v>18</v>
      </c>
      <c r="E166" t="s">
        <v>30</v>
      </c>
      <c r="F166" t="s">
        <v>39</v>
      </c>
      <c r="G166" t="s">
        <v>28</v>
      </c>
      <c r="H166">
        <v>1</v>
      </c>
      <c r="I166">
        <v>25</v>
      </c>
      <c r="J166">
        <v>25</v>
      </c>
      <c r="K166" t="s">
        <v>29</v>
      </c>
    </row>
    <row r="167" spans="1:11" x14ac:dyDescent="0.3">
      <c r="A167">
        <v>3166</v>
      </c>
      <c r="B167" s="1">
        <v>46097</v>
      </c>
      <c r="C167" t="s">
        <v>23</v>
      </c>
      <c r="D167" t="s">
        <v>18</v>
      </c>
      <c r="E167" t="s">
        <v>30</v>
      </c>
      <c r="F167" t="s">
        <v>15</v>
      </c>
      <c r="G167" t="s">
        <v>16</v>
      </c>
      <c r="H167">
        <v>8</v>
      </c>
      <c r="I167">
        <v>40</v>
      </c>
      <c r="J167">
        <v>320</v>
      </c>
      <c r="K167" t="s">
        <v>20</v>
      </c>
    </row>
    <row r="168" spans="1:11" x14ac:dyDescent="0.3">
      <c r="A168">
        <v>3167</v>
      </c>
      <c r="B168" s="1">
        <v>46098</v>
      </c>
      <c r="C168" t="s">
        <v>33</v>
      </c>
      <c r="D168" t="s">
        <v>18</v>
      </c>
      <c r="E168" t="s">
        <v>14</v>
      </c>
      <c r="F168" t="s">
        <v>36</v>
      </c>
      <c r="G168" t="s">
        <v>25</v>
      </c>
      <c r="H168">
        <v>10</v>
      </c>
      <c r="I168">
        <v>120</v>
      </c>
      <c r="J168">
        <v>1200</v>
      </c>
      <c r="K168" t="s">
        <v>20</v>
      </c>
    </row>
    <row r="169" spans="1:11" x14ac:dyDescent="0.3">
      <c r="A169">
        <v>3168</v>
      </c>
      <c r="B169" s="1">
        <v>46099</v>
      </c>
      <c r="C169" t="s">
        <v>1</v>
      </c>
      <c r="D169" t="s">
        <v>13</v>
      </c>
      <c r="E169" t="s">
        <v>30</v>
      </c>
      <c r="F169" t="s">
        <v>15</v>
      </c>
      <c r="G169" t="s">
        <v>16</v>
      </c>
      <c r="H169">
        <v>9</v>
      </c>
      <c r="I169">
        <v>40</v>
      </c>
      <c r="J169">
        <v>360</v>
      </c>
      <c r="K169" t="s">
        <v>20</v>
      </c>
    </row>
    <row r="170" spans="1:11" x14ac:dyDescent="0.3">
      <c r="A170">
        <v>3169</v>
      </c>
      <c r="B170" s="1">
        <v>46100</v>
      </c>
      <c r="C170" t="s">
        <v>23</v>
      </c>
      <c r="D170" t="s">
        <v>13</v>
      </c>
      <c r="E170" t="s">
        <v>14</v>
      </c>
      <c r="F170" t="s">
        <v>31</v>
      </c>
      <c r="G170" t="s">
        <v>32</v>
      </c>
      <c r="H170">
        <v>7</v>
      </c>
      <c r="I170">
        <v>60</v>
      </c>
      <c r="J170">
        <v>420</v>
      </c>
      <c r="K170" t="s">
        <v>29</v>
      </c>
    </row>
    <row r="171" spans="1:11" x14ac:dyDescent="0.3">
      <c r="A171">
        <v>3170</v>
      </c>
      <c r="B171" s="1">
        <v>46101</v>
      </c>
      <c r="C171" t="s">
        <v>23</v>
      </c>
      <c r="D171" t="s">
        <v>13</v>
      </c>
      <c r="E171" t="s">
        <v>14</v>
      </c>
      <c r="F171" t="s">
        <v>34</v>
      </c>
      <c r="G171" t="s">
        <v>35</v>
      </c>
      <c r="H171">
        <v>1</v>
      </c>
      <c r="I171">
        <v>250</v>
      </c>
      <c r="J171">
        <v>250</v>
      </c>
      <c r="K171" t="s">
        <v>20</v>
      </c>
    </row>
    <row r="172" spans="1:11" x14ac:dyDescent="0.3">
      <c r="A172">
        <v>3171</v>
      </c>
      <c r="B172" s="1">
        <v>46102</v>
      </c>
      <c r="C172" t="s">
        <v>2</v>
      </c>
      <c r="D172" t="s">
        <v>18</v>
      </c>
      <c r="E172" t="s">
        <v>30</v>
      </c>
      <c r="F172" t="s">
        <v>15</v>
      </c>
      <c r="G172" t="s">
        <v>16</v>
      </c>
      <c r="H172">
        <v>2</v>
      </c>
      <c r="I172">
        <v>40</v>
      </c>
      <c r="J172">
        <v>80</v>
      </c>
      <c r="K172" t="s">
        <v>29</v>
      </c>
    </row>
    <row r="173" spans="1:11" x14ac:dyDescent="0.3">
      <c r="A173">
        <v>3172</v>
      </c>
      <c r="B173" s="1">
        <v>46103</v>
      </c>
      <c r="C173" t="s">
        <v>1</v>
      </c>
      <c r="D173" t="s">
        <v>18</v>
      </c>
      <c r="E173" t="s">
        <v>30</v>
      </c>
      <c r="F173" t="s">
        <v>42</v>
      </c>
      <c r="G173" t="s">
        <v>25</v>
      </c>
      <c r="H173">
        <v>3</v>
      </c>
      <c r="I173">
        <v>6</v>
      </c>
      <c r="J173">
        <v>18</v>
      </c>
      <c r="K173" t="s">
        <v>20</v>
      </c>
    </row>
    <row r="174" spans="1:11" x14ac:dyDescent="0.3">
      <c r="A174">
        <v>3173</v>
      </c>
      <c r="B174" s="1">
        <v>46104</v>
      </c>
      <c r="C174" t="s">
        <v>23</v>
      </c>
      <c r="D174" t="s">
        <v>18</v>
      </c>
      <c r="E174" t="s">
        <v>30</v>
      </c>
      <c r="F174" t="s">
        <v>26</v>
      </c>
      <c r="G174" t="s">
        <v>22</v>
      </c>
      <c r="H174">
        <v>1</v>
      </c>
      <c r="I174">
        <v>90</v>
      </c>
      <c r="J174">
        <v>90</v>
      </c>
      <c r="K174" t="s">
        <v>20</v>
      </c>
    </row>
    <row r="175" spans="1:11" x14ac:dyDescent="0.3">
      <c r="A175">
        <v>3174</v>
      </c>
      <c r="B175" s="1">
        <v>46105</v>
      </c>
      <c r="C175" t="s">
        <v>1</v>
      </c>
      <c r="D175" t="s">
        <v>13</v>
      </c>
      <c r="E175" t="s">
        <v>14</v>
      </c>
      <c r="F175" t="s">
        <v>42</v>
      </c>
      <c r="G175" t="s">
        <v>25</v>
      </c>
      <c r="H175">
        <v>2</v>
      </c>
      <c r="I175">
        <v>6</v>
      </c>
      <c r="J175">
        <v>12</v>
      </c>
      <c r="K175" t="s">
        <v>17</v>
      </c>
    </row>
    <row r="176" spans="1:11" x14ac:dyDescent="0.3">
      <c r="A176">
        <v>3175</v>
      </c>
      <c r="B176" s="1">
        <v>46106</v>
      </c>
      <c r="C176" t="s">
        <v>1</v>
      </c>
      <c r="D176" t="s">
        <v>13</v>
      </c>
      <c r="E176" t="s">
        <v>30</v>
      </c>
      <c r="F176" t="s">
        <v>19</v>
      </c>
      <c r="G176" t="s">
        <v>16</v>
      </c>
      <c r="H176">
        <v>10</v>
      </c>
      <c r="I176">
        <v>70</v>
      </c>
      <c r="J176">
        <v>700</v>
      </c>
      <c r="K176" t="s">
        <v>20</v>
      </c>
    </row>
    <row r="177" spans="1:11" x14ac:dyDescent="0.3">
      <c r="A177">
        <v>3176</v>
      </c>
      <c r="B177" s="1">
        <v>46107</v>
      </c>
      <c r="C177" t="s">
        <v>33</v>
      </c>
      <c r="D177" t="s">
        <v>13</v>
      </c>
      <c r="E177" t="s">
        <v>30</v>
      </c>
      <c r="F177" t="s">
        <v>43</v>
      </c>
      <c r="G177" t="s">
        <v>28</v>
      </c>
      <c r="H177">
        <v>1</v>
      </c>
      <c r="I177">
        <v>40</v>
      </c>
      <c r="J177">
        <v>40</v>
      </c>
      <c r="K177" t="s">
        <v>17</v>
      </c>
    </row>
    <row r="178" spans="1:11" x14ac:dyDescent="0.3">
      <c r="A178">
        <v>3177</v>
      </c>
      <c r="B178" s="1">
        <v>46108</v>
      </c>
      <c r="C178" t="s">
        <v>33</v>
      </c>
      <c r="D178" t="s">
        <v>18</v>
      </c>
      <c r="E178" t="s">
        <v>30</v>
      </c>
      <c r="F178" t="s">
        <v>27</v>
      </c>
      <c r="G178" t="s">
        <v>28</v>
      </c>
      <c r="H178">
        <v>7</v>
      </c>
      <c r="I178">
        <v>35</v>
      </c>
      <c r="J178">
        <v>245</v>
      </c>
      <c r="K178" t="s">
        <v>17</v>
      </c>
    </row>
    <row r="179" spans="1:11" x14ac:dyDescent="0.3">
      <c r="A179">
        <v>3178</v>
      </c>
      <c r="B179" s="1">
        <v>46109</v>
      </c>
      <c r="C179" t="s">
        <v>23</v>
      </c>
      <c r="D179" t="s">
        <v>18</v>
      </c>
      <c r="E179" t="s">
        <v>14</v>
      </c>
      <c r="F179" t="s">
        <v>40</v>
      </c>
      <c r="G179" t="s">
        <v>35</v>
      </c>
      <c r="H179">
        <v>3</v>
      </c>
      <c r="I179">
        <v>300</v>
      </c>
      <c r="J179">
        <v>900</v>
      </c>
      <c r="K179" t="s">
        <v>17</v>
      </c>
    </row>
    <row r="180" spans="1:11" x14ac:dyDescent="0.3">
      <c r="A180">
        <v>3179</v>
      </c>
      <c r="B180" s="1">
        <v>46110</v>
      </c>
      <c r="C180" t="s">
        <v>33</v>
      </c>
      <c r="D180" t="s">
        <v>18</v>
      </c>
      <c r="E180" t="s">
        <v>30</v>
      </c>
      <c r="F180" t="s">
        <v>15</v>
      </c>
      <c r="G180" t="s">
        <v>16</v>
      </c>
      <c r="H180">
        <v>3</v>
      </c>
      <c r="I180">
        <v>40</v>
      </c>
      <c r="J180">
        <v>120</v>
      </c>
      <c r="K180" t="s">
        <v>20</v>
      </c>
    </row>
    <row r="181" spans="1:11" x14ac:dyDescent="0.3">
      <c r="A181">
        <v>3180</v>
      </c>
      <c r="B181" s="1">
        <v>46111</v>
      </c>
      <c r="C181" t="s">
        <v>2</v>
      </c>
      <c r="D181" t="s">
        <v>13</v>
      </c>
      <c r="E181" t="s">
        <v>14</v>
      </c>
      <c r="F181" t="s">
        <v>36</v>
      </c>
      <c r="G181" t="s">
        <v>25</v>
      </c>
      <c r="H181">
        <v>8</v>
      </c>
      <c r="I181">
        <v>120</v>
      </c>
      <c r="J181">
        <v>960</v>
      </c>
      <c r="K181" t="s">
        <v>17</v>
      </c>
    </row>
    <row r="182" spans="1:11" x14ac:dyDescent="0.3">
      <c r="A182">
        <v>3181</v>
      </c>
      <c r="B182" s="1">
        <v>46082</v>
      </c>
      <c r="C182" t="s">
        <v>1</v>
      </c>
      <c r="D182" t="s">
        <v>13</v>
      </c>
      <c r="E182" t="s">
        <v>14</v>
      </c>
      <c r="F182" t="s">
        <v>41</v>
      </c>
      <c r="G182" t="s">
        <v>38</v>
      </c>
      <c r="H182">
        <v>9</v>
      </c>
      <c r="I182">
        <v>80</v>
      </c>
      <c r="J182">
        <v>720</v>
      </c>
      <c r="K182" t="s">
        <v>20</v>
      </c>
    </row>
    <row r="183" spans="1:11" x14ac:dyDescent="0.3">
      <c r="A183">
        <v>3182</v>
      </c>
      <c r="B183" s="1">
        <v>46083</v>
      </c>
      <c r="C183" t="s">
        <v>1</v>
      </c>
      <c r="D183" t="s">
        <v>13</v>
      </c>
      <c r="E183" t="s">
        <v>30</v>
      </c>
      <c r="F183" t="s">
        <v>36</v>
      </c>
      <c r="G183" t="s">
        <v>25</v>
      </c>
      <c r="H183">
        <v>7</v>
      </c>
      <c r="I183">
        <v>120</v>
      </c>
      <c r="J183">
        <v>840</v>
      </c>
      <c r="K183" t="s">
        <v>29</v>
      </c>
    </row>
    <row r="184" spans="1:11" x14ac:dyDescent="0.3">
      <c r="A184">
        <v>3183</v>
      </c>
      <c r="B184" s="1">
        <v>46084</v>
      </c>
      <c r="C184" t="s">
        <v>1</v>
      </c>
      <c r="D184" t="s">
        <v>18</v>
      </c>
      <c r="E184" t="s">
        <v>30</v>
      </c>
      <c r="F184" t="s">
        <v>41</v>
      </c>
      <c r="G184" t="s">
        <v>38</v>
      </c>
      <c r="H184">
        <v>6</v>
      </c>
      <c r="I184">
        <v>80</v>
      </c>
      <c r="J184">
        <v>480</v>
      </c>
      <c r="K184" t="s">
        <v>29</v>
      </c>
    </row>
    <row r="185" spans="1:11" x14ac:dyDescent="0.3">
      <c r="A185">
        <v>3184</v>
      </c>
      <c r="B185" s="1">
        <v>46085</v>
      </c>
      <c r="C185" t="s">
        <v>23</v>
      </c>
      <c r="D185" t="s">
        <v>13</v>
      </c>
      <c r="E185" t="s">
        <v>14</v>
      </c>
      <c r="F185" t="s">
        <v>21</v>
      </c>
      <c r="G185" t="s">
        <v>22</v>
      </c>
      <c r="H185">
        <v>8</v>
      </c>
      <c r="I185">
        <v>50</v>
      </c>
      <c r="J185">
        <v>400</v>
      </c>
      <c r="K185" t="s">
        <v>20</v>
      </c>
    </row>
    <row r="186" spans="1:11" x14ac:dyDescent="0.3">
      <c r="A186">
        <v>3185</v>
      </c>
      <c r="B186" s="1">
        <v>46086</v>
      </c>
      <c r="C186" t="s">
        <v>33</v>
      </c>
      <c r="D186" t="s">
        <v>13</v>
      </c>
      <c r="E186" t="s">
        <v>30</v>
      </c>
      <c r="F186" t="s">
        <v>42</v>
      </c>
      <c r="G186" t="s">
        <v>25</v>
      </c>
      <c r="H186">
        <v>5</v>
      </c>
      <c r="I186">
        <v>6</v>
      </c>
      <c r="J186">
        <v>30</v>
      </c>
      <c r="K186" t="s">
        <v>17</v>
      </c>
    </row>
    <row r="187" spans="1:11" x14ac:dyDescent="0.3">
      <c r="A187">
        <v>3186</v>
      </c>
      <c r="B187" s="1">
        <v>46087</v>
      </c>
      <c r="C187" t="s">
        <v>2</v>
      </c>
      <c r="D187" t="s">
        <v>18</v>
      </c>
      <c r="E187" t="s">
        <v>14</v>
      </c>
      <c r="F187" t="s">
        <v>36</v>
      </c>
      <c r="G187" t="s">
        <v>25</v>
      </c>
      <c r="H187">
        <v>5</v>
      </c>
      <c r="I187">
        <v>120</v>
      </c>
      <c r="J187">
        <v>600</v>
      </c>
      <c r="K187" t="s">
        <v>20</v>
      </c>
    </row>
    <row r="188" spans="1:11" x14ac:dyDescent="0.3">
      <c r="A188">
        <v>3187</v>
      </c>
      <c r="B188" s="1">
        <v>46088</v>
      </c>
      <c r="C188" t="s">
        <v>33</v>
      </c>
      <c r="D188" t="s">
        <v>18</v>
      </c>
      <c r="E188" t="s">
        <v>30</v>
      </c>
      <c r="F188" t="s">
        <v>26</v>
      </c>
      <c r="G188" t="s">
        <v>22</v>
      </c>
      <c r="H188">
        <v>3</v>
      </c>
      <c r="I188">
        <v>90</v>
      </c>
      <c r="J188">
        <v>270</v>
      </c>
      <c r="K188" t="s">
        <v>20</v>
      </c>
    </row>
    <row r="189" spans="1:11" x14ac:dyDescent="0.3">
      <c r="A189">
        <v>3188</v>
      </c>
      <c r="B189" s="1">
        <v>46089</v>
      </c>
      <c r="C189" t="s">
        <v>23</v>
      </c>
      <c r="D189" t="s">
        <v>13</v>
      </c>
      <c r="E189" t="s">
        <v>14</v>
      </c>
      <c r="F189" t="s">
        <v>15</v>
      </c>
      <c r="G189" t="s">
        <v>16</v>
      </c>
      <c r="H189">
        <v>3</v>
      </c>
      <c r="I189">
        <v>40</v>
      </c>
      <c r="J189">
        <v>120</v>
      </c>
      <c r="K189" t="s">
        <v>29</v>
      </c>
    </row>
    <row r="190" spans="1:11" x14ac:dyDescent="0.3">
      <c r="A190">
        <v>3189</v>
      </c>
      <c r="B190" s="1">
        <v>46090</v>
      </c>
      <c r="C190" t="s">
        <v>23</v>
      </c>
      <c r="D190" t="s">
        <v>13</v>
      </c>
      <c r="E190" t="s">
        <v>30</v>
      </c>
      <c r="F190" t="s">
        <v>39</v>
      </c>
      <c r="G190" t="s">
        <v>28</v>
      </c>
      <c r="H190">
        <v>1</v>
      </c>
      <c r="I190">
        <v>25</v>
      </c>
      <c r="J190">
        <v>25</v>
      </c>
      <c r="K190" t="s">
        <v>17</v>
      </c>
    </row>
    <row r="191" spans="1:11" x14ac:dyDescent="0.3">
      <c r="A191">
        <v>3190</v>
      </c>
      <c r="B191" s="1">
        <v>46091</v>
      </c>
      <c r="C191" t="s">
        <v>2</v>
      </c>
      <c r="D191" t="s">
        <v>18</v>
      </c>
      <c r="E191" t="s">
        <v>30</v>
      </c>
      <c r="F191" t="s">
        <v>44</v>
      </c>
      <c r="G191" t="s">
        <v>25</v>
      </c>
      <c r="H191">
        <v>4</v>
      </c>
      <c r="I191">
        <v>200</v>
      </c>
      <c r="J191">
        <v>800</v>
      </c>
      <c r="K191" t="s">
        <v>29</v>
      </c>
    </row>
    <row r="192" spans="1:11" x14ac:dyDescent="0.3">
      <c r="A192">
        <v>3191</v>
      </c>
      <c r="B192" s="1">
        <v>46092</v>
      </c>
      <c r="C192" t="s">
        <v>1</v>
      </c>
      <c r="D192" t="s">
        <v>13</v>
      </c>
      <c r="E192" t="s">
        <v>14</v>
      </c>
      <c r="F192" t="s">
        <v>37</v>
      </c>
      <c r="G192" t="s">
        <v>38</v>
      </c>
      <c r="H192">
        <v>4</v>
      </c>
      <c r="I192">
        <v>30</v>
      </c>
      <c r="J192">
        <v>120</v>
      </c>
      <c r="K192" t="s">
        <v>17</v>
      </c>
    </row>
    <row r="193" spans="1:11" x14ac:dyDescent="0.3">
      <c r="A193">
        <v>3192</v>
      </c>
      <c r="B193" s="1">
        <v>46093</v>
      </c>
      <c r="C193" t="s">
        <v>33</v>
      </c>
      <c r="D193" t="s">
        <v>13</v>
      </c>
      <c r="E193" t="s">
        <v>30</v>
      </c>
      <c r="F193" t="s">
        <v>36</v>
      </c>
      <c r="G193" t="s">
        <v>25</v>
      </c>
      <c r="H193">
        <v>7</v>
      </c>
      <c r="I193">
        <v>120</v>
      </c>
      <c r="J193">
        <v>840</v>
      </c>
      <c r="K193" t="s">
        <v>20</v>
      </c>
    </row>
    <row r="194" spans="1:11" x14ac:dyDescent="0.3">
      <c r="A194">
        <v>3193</v>
      </c>
      <c r="B194" s="1">
        <v>46094</v>
      </c>
      <c r="C194" t="s">
        <v>2</v>
      </c>
      <c r="D194" t="s">
        <v>13</v>
      </c>
      <c r="E194" t="s">
        <v>30</v>
      </c>
      <c r="F194" t="s">
        <v>39</v>
      </c>
      <c r="G194" t="s">
        <v>28</v>
      </c>
      <c r="H194">
        <v>1</v>
      </c>
      <c r="I194">
        <v>25</v>
      </c>
      <c r="J194">
        <v>25</v>
      </c>
      <c r="K194" t="s">
        <v>20</v>
      </c>
    </row>
    <row r="195" spans="1:11" x14ac:dyDescent="0.3">
      <c r="A195">
        <v>3194</v>
      </c>
      <c r="B195" s="1">
        <v>46095</v>
      </c>
      <c r="C195" t="s">
        <v>23</v>
      </c>
      <c r="D195" t="s">
        <v>13</v>
      </c>
      <c r="E195" t="s">
        <v>30</v>
      </c>
      <c r="F195" t="s">
        <v>19</v>
      </c>
      <c r="G195" t="s">
        <v>16</v>
      </c>
      <c r="H195">
        <v>3</v>
      </c>
      <c r="I195">
        <v>70</v>
      </c>
      <c r="J195">
        <v>210</v>
      </c>
      <c r="K195" t="s">
        <v>29</v>
      </c>
    </row>
    <row r="196" spans="1:11" x14ac:dyDescent="0.3">
      <c r="A196">
        <v>3195</v>
      </c>
      <c r="B196" s="1">
        <v>46096</v>
      </c>
      <c r="C196" t="s">
        <v>23</v>
      </c>
      <c r="D196" t="s">
        <v>18</v>
      </c>
      <c r="E196" t="s">
        <v>30</v>
      </c>
      <c r="F196" t="s">
        <v>36</v>
      </c>
      <c r="G196" t="s">
        <v>25</v>
      </c>
      <c r="H196">
        <v>3</v>
      </c>
      <c r="I196">
        <v>120</v>
      </c>
      <c r="J196">
        <v>360</v>
      </c>
      <c r="K196" t="s">
        <v>17</v>
      </c>
    </row>
    <row r="197" spans="1:11" x14ac:dyDescent="0.3">
      <c r="A197">
        <v>3196</v>
      </c>
      <c r="B197" s="1">
        <v>46097</v>
      </c>
      <c r="C197" t="s">
        <v>1</v>
      </c>
      <c r="D197" t="s">
        <v>18</v>
      </c>
      <c r="E197" t="s">
        <v>14</v>
      </c>
      <c r="F197" t="s">
        <v>19</v>
      </c>
      <c r="G197" t="s">
        <v>16</v>
      </c>
      <c r="H197">
        <v>8</v>
      </c>
      <c r="I197">
        <v>70</v>
      </c>
      <c r="J197">
        <v>560</v>
      </c>
      <c r="K197" t="s">
        <v>20</v>
      </c>
    </row>
    <row r="198" spans="1:11" x14ac:dyDescent="0.3">
      <c r="A198">
        <v>3197</v>
      </c>
      <c r="B198" s="1">
        <v>46098</v>
      </c>
      <c r="C198" t="s">
        <v>33</v>
      </c>
      <c r="D198" t="s">
        <v>18</v>
      </c>
      <c r="E198" t="s">
        <v>30</v>
      </c>
      <c r="F198" t="s">
        <v>26</v>
      </c>
      <c r="G198" t="s">
        <v>22</v>
      </c>
      <c r="H198">
        <v>4</v>
      </c>
      <c r="I198">
        <v>90</v>
      </c>
      <c r="J198">
        <v>360</v>
      </c>
      <c r="K198" t="s">
        <v>20</v>
      </c>
    </row>
    <row r="199" spans="1:11" x14ac:dyDescent="0.3">
      <c r="A199">
        <v>3198</v>
      </c>
      <c r="B199" s="1">
        <v>46099</v>
      </c>
      <c r="C199" t="s">
        <v>2</v>
      </c>
      <c r="D199" t="s">
        <v>13</v>
      </c>
      <c r="E199" t="s">
        <v>30</v>
      </c>
      <c r="F199" t="s">
        <v>34</v>
      </c>
      <c r="G199" t="s">
        <v>35</v>
      </c>
      <c r="H199">
        <v>2</v>
      </c>
      <c r="I199">
        <v>250</v>
      </c>
      <c r="J199">
        <v>500</v>
      </c>
      <c r="K199" t="s">
        <v>29</v>
      </c>
    </row>
    <row r="200" spans="1:11" x14ac:dyDescent="0.3">
      <c r="A200">
        <v>3199</v>
      </c>
      <c r="B200" s="1">
        <v>46100</v>
      </c>
      <c r="C200" t="s">
        <v>1</v>
      </c>
      <c r="D200" t="s">
        <v>18</v>
      </c>
      <c r="E200" t="s">
        <v>30</v>
      </c>
      <c r="F200" t="s">
        <v>42</v>
      </c>
      <c r="G200" t="s">
        <v>25</v>
      </c>
      <c r="H200">
        <v>7</v>
      </c>
      <c r="I200">
        <v>6</v>
      </c>
      <c r="J200">
        <v>42</v>
      </c>
      <c r="K200" t="s">
        <v>17</v>
      </c>
    </row>
    <row r="201" spans="1:11" x14ac:dyDescent="0.3">
      <c r="A201">
        <v>3200</v>
      </c>
      <c r="B201" s="1">
        <v>46101</v>
      </c>
      <c r="C201" t="s">
        <v>1</v>
      </c>
      <c r="D201" t="s">
        <v>18</v>
      </c>
      <c r="E201" t="s">
        <v>14</v>
      </c>
      <c r="F201" t="s">
        <v>34</v>
      </c>
      <c r="G201" t="s">
        <v>35</v>
      </c>
      <c r="H201">
        <v>4</v>
      </c>
      <c r="I201">
        <v>250</v>
      </c>
      <c r="J201">
        <v>1000</v>
      </c>
      <c r="K201" t="s">
        <v>29</v>
      </c>
    </row>
    <row r="202" spans="1:11" x14ac:dyDescent="0.3">
      <c r="A202">
        <v>3201</v>
      </c>
      <c r="B202" s="1">
        <v>46102</v>
      </c>
      <c r="C202" t="s">
        <v>2</v>
      </c>
      <c r="D202" t="s">
        <v>18</v>
      </c>
      <c r="E202" t="s">
        <v>30</v>
      </c>
      <c r="F202" t="s">
        <v>39</v>
      </c>
      <c r="G202" t="s">
        <v>28</v>
      </c>
      <c r="H202">
        <v>3</v>
      </c>
      <c r="I202">
        <v>25</v>
      </c>
      <c r="J202">
        <v>75</v>
      </c>
      <c r="K202" t="s">
        <v>29</v>
      </c>
    </row>
    <row r="203" spans="1:11" x14ac:dyDescent="0.3">
      <c r="A203">
        <v>3202</v>
      </c>
      <c r="B203" s="1">
        <v>46103</v>
      </c>
      <c r="C203" t="s">
        <v>23</v>
      </c>
      <c r="D203" t="s">
        <v>13</v>
      </c>
      <c r="E203" t="s">
        <v>30</v>
      </c>
      <c r="F203" t="s">
        <v>40</v>
      </c>
      <c r="G203" t="s">
        <v>35</v>
      </c>
      <c r="H203">
        <v>5</v>
      </c>
      <c r="I203">
        <v>300</v>
      </c>
      <c r="J203">
        <v>1500</v>
      </c>
      <c r="K203" t="s">
        <v>20</v>
      </c>
    </row>
    <row r="204" spans="1:11" x14ac:dyDescent="0.3">
      <c r="A204">
        <v>3203</v>
      </c>
      <c r="B204" s="1">
        <v>46104</v>
      </c>
      <c r="C204" t="s">
        <v>23</v>
      </c>
      <c r="D204" t="s">
        <v>13</v>
      </c>
      <c r="E204" t="s">
        <v>14</v>
      </c>
      <c r="F204" t="s">
        <v>40</v>
      </c>
      <c r="G204" t="s">
        <v>35</v>
      </c>
      <c r="H204">
        <v>10</v>
      </c>
      <c r="I204">
        <v>300</v>
      </c>
      <c r="J204">
        <v>3000</v>
      </c>
      <c r="K204" t="s">
        <v>20</v>
      </c>
    </row>
    <row r="205" spans="1:11" x14ac:dyDescent="0.3">
      <c r="A205">
        <v>3204</v>
      </c>
      <c r="B205" s="1">
        <v>46105</v>
      </c>
      <c r="C205" t="s">
        <v>23</v>
      </c>
      <c r="D205" t="s">
        <v>13</v>
      </c>
      <c r="E205" t="s">
        <v>30</v>
      </c>
      <c r="F205" t="s">
        <v>36</v>
      </c>
      <c r="G205" t="s">
        <v>25</v>
      </c>
      <c r="H205">
        <v>4</v>
      </c>
      <c r="I205">
        <v>120</v>
      </c>
      <c r="J205">
        <v>480</v>
      </c>
      <c r="K205" t="s">
        <v>20</v>
      </c>
    </row>
    <row r="206" spans="1:11" x14ac:dyDescent="0.3">
      <c r="A206">
        <v>3205</v>
      </c>
      <c r="B206" s="1">
        <v>46106</v>
      </c>
      <c r="C206" t="s">
        <v>33</v>
      </c>
      <c r="D206" t="s">
        <v>13</v>
      </c>
      <c r="E206" t="s">
        <v>30</v>
      </c>
      <c r="F206" t="s">
        <v>41</v>
      </c>
      <c r="G206" t="s">
        <v>38</v>
      </c>
      <c r="H206">
        <v>2</v>
      </c>
      <c r="I206">
        <v>80</v>
      </c>
      <c r="J206">
        <v>160</v>
      </c>
      <c r="K206" t="s">
        <v>20</v>
      </c>
    </row>
    <row r="207" spans="1:11" x14ac:dyDescent="0.3">
      <c r="A207">
        <v>3206</v>
      </c>
      <c r="B207" s="1">
        <v>46107</v>
      </c>
      <c r="C207" t="s">
        <v>33</v>
      </c>
      <c r="D207" t="s">
        <v>18</v>
      </c>
      <c r="E207" t="s">
        <v>14</v>
      </c>
      <c r="F207" t="s">
        <v>40</v>
      </c>
      <c r="G207" t="s">
        <v>35</v>
      </c>
      <c r="H207">
        <v>7</v>
      </c>
      <c r="I207">
        <v>300</v>
      </c>
      <c r="J207">
        <v>2100</v>
      </c>
      <c r="K207" t="s">
        <v>17</v>
      </c>
    </row>
    <row r="208" spans="1:11" x14ac:dyDescent="0.3">
      <c r="A208">
        <v>3207</v>
      </c>
      <c r="B208" s="1">
        <v>46108</v>
      </c>
      <c r="C208" t="s">
        <v>2</v>
      </c>
      <c r="D208" t="s">
        <v>18</v>
      </c>
      <c r="E208" t="s">
        <v>14</v>
      </c>
      <c r="F208" t="s">
        <v>24</v>
      </c>
      <c r="G208" t="s">
        <v>25</v>
      </c>
      <c r="H208">
        <v>4</v>
      </c>
      <c r="I208">
        <v>50</v>
      </c>
      <c r="J208">
        <v>200</v>
      </c>
      <c r="K208" t="s">
        <v>20</v>
      </c>
    </row>
    <row r="209" spans="1:11" x14ac:dyDescent="0.3">
      <c r="A209">
        <v>3208</v>
      </c>
      <c r="B209" s="1">
        <v>46109</v>
      </c>
      <c r="C209" t="s">
        <v>2</v>
      </c>
      <c r="D209" t="s">
        <v>18</v>
      </c>
      <c r="E209" t="s">
        <v>30</v>
      </c>
      <c r="F209" t="s">
        <v>19</v>
      </c>
      <c r="G209" t="s">
        <v>16</v>
      </c>
      <c r="H209">
        <v>1</v>
      </c>
      <c r="I209">
        <v>70</v>
      </c>
      <c r="J209">
        <v>70</v>
      </c>
      <c r="K209" t="s">
        <v>20</v>
      </c>
    </row>
    <row r="210" spans="1:11" x14ac:dyDescent="0.3">
      <c r="A210">
        <v>3209</v>
      </c>
      <c r="B210" s="1">
        <v>46110</v>
      </c>
      <c r="C210" t="s">
        <v>2</v>
      </c>
      <c r="D210" t="s">
        <v>13</v>
      </c>
      <c r="E210" t="s">
        <v>30</v>
      </c>
      <c r="F210" t="s">
        <v>26</v>
      </c>
      <c r="G210" t="s">
        <v>22</v>
      </c>
      <c r="H210">
        <v>9</v>
      </c>
      <c r="I210">
        <v>90</v>
      </c>
      <c r="J210">
        <v>810</v>
      </c>
      <c r="K210" t="s">
        <v>17</v>
      </c>
    </row>
    <row r="211" spans="1:11" x14ac:dyDescent="0.3">
      <c r="A211">
        <v>3210</v>
      </c>
      <c r="B211" s="1">
        <v>46111</v>
      </c>
      <c r="C211" t="s">
        <v>33</v>
      </c>
      <c r="D211" t="s">
        <v>13</v>
      </c>
      <c r="E211" t="s">
        <v>14</v>
      </c>
      <c r="F211" t="s">
        <v>36</v>
      </c>
      <c r="G211" t="s">
        <v>25</v>
      </c>
      <c r="H211">
        <v>6</v>
      </c>
      <c r="I211">
        <v>120</v>
      </c>
      <c r="J211">
        <v>720</v>
      </c>
      <c r="K211" t="s">
        <v>20</v>
      </c>
    </row>
    <row r="212" spans="1:11" x14ac:dyDescent="0.3">
      <c r="A212">
        <v>3211</v>
      </c>
      <c r="B212" s="1">
        <v>46082</v>
      </c>
      <c r="C212" t="s">
        <v>33</v>
      </c>
      <c r="D212" t="s">
        <v>18</v>
      </c>
      <c r="E212" t="s">
        <v>14</v>
      </c>
      <c r="F212" t="s">
        <v>44</v>
      </c>
      <c r="G212" t="s">
        <v>25</v>
      </c>
      <c r="H212">
        <v>10</v>
      </c>
      <c r="I212">
        <v>200</v>
      </c>
      <c r="J212">
        <v>2000</v>
      </c>
      <c r="K212" t="s">
        <v>20</v>
      </c>
    </row>
    <row r="213" spans="1:11" x14ac:dyDescent="0.3">
      <c r="A213">
        <v>3212</v>
      </c>
      <c r="B213" s="1">
        <v>46083</v>
      </c>
      <c r="C213" t="s">
        <v>2</v>
      </c>
      <c r="D213" t="s">
        <v>18</v>
      </c>
      <c r="E213" t="s">
        <v>14</v>
      </c>
      <c r="F213" t="s">
        <v>42</v>
      </c>
      <c r="G213" t="s">
        <v>25</v>
      </c>
      <c r="H213">
        <v>6</v>
      </c>
      <c r="I213">
        <v>6</v>
      </c>
      <c r="J213">
        <v>36</v>
      </c>
      <c r="K213" t="s">
        <v>29</v>
      </c>
    </row>
    <row r="214" spans="1:11" x14ac:dyDescent="0.3">
      <c r="A214">
        <v>3213</v>
      </c>
      <c r="B214" s="1">
        <v>46084</v>
      </c>
      <c r="C214" t="s">
        <v>2</v>
      </c>
      <c r="D214" t="s">
        <v>18</v>
      </c>
      <c r="E214" t="s">
        <v>30</v>
      </c>
      <c r="F214" t="s">
        <v>39</v>
      </c>
      <c r="G214" t="s">
        <v>28</v>
      </c>
      <c r="H214">
        <v>1</v>
      </c>
      <c r="I214">
        <v>25</v>
      </c>
      <c r="J214">
        <v>25</v>
      </c>
      <c r="K214" t="s">
        <v>20</v>
      </c>
    </row>
    <row r="215" spans="1:11" x14ac:dyDescent="0.3">
      <c r="A215">
        <v>3214</v>
      </c>
      <c r="B215" s="1">
        <v>46085</v>
      </c>
      <c r="C215" t="s">
        <v>1</v>
      </c>
      <c r="D215" t="s">
        <v>18</v>
      </c>
      <c r="E215" t="s">
        <v>14</v>
      </c>
      <c r="F215" t="s">
        <v>26</v>
      </c>
      <c r="G215" t="s">
        <v>22</v>
      </c>
      <c r="H215">
        <v>6</v>
      </c>
      <c r="I215">
        <v>90</v>
      </c>
      <c r="J215">
        <v>540</v>
      </c>
      <c r="K215" t="s">
        <v>29</v>
      </c>
    </row>
    <row r="216" spans="1:11" x14ac:dyDescent="0.3">
      <c r="A216">
        <v>3215</v>
      </c>
      <c r="B216" s="1">
        <v>46086</v>
      </c>
      <c r="C216" t="s">
        <v>23</v>
      </c>
      <c r="D216" t="s">
        <v>18</v>
      </c>
      <c r="E216" t="s">
        <v>30</v>
      </c>
      <c r="F216" t="s">
        <v>27</v>
      </c>
      <c r="G216" t="s">
        <v>28</v>
      </c>
      <c r="H216">
        <v>9</v>
      </c>
      <c r="I216">
        <v>35</v>
      </c>
      <c r="J216">
        <v>315</v>
      </c>
      <c r="K216" t="s">
        <v>17</v>
      </c>
    </row>
    <row r="217" spans="1:11" x14ac:dyDescent="0.3">
      <c r="A217">
        <v>3216</v>
      </c>
      <c r="B217" s="1">
        <v>46087</v>
      </c>
      <c r="C217" t="s">
        <v>33</v>
      </c>
      <c r="D217" t="s">
        <v>13</v>
      </c>
      <c r="E217" t="s">
        <v>14</v>
      </c>
      <c r="F217" t="s">
        <v>34</v>
      </c>
      <c r="G217" t="s">
        <v>35</v>
      </c>
      <c r="H217">
        <v>4</v>
      </c>
      <c r="I217">
        <v>250</v>
      </c>
      <c r="J217">
        <v>1000</v>
      </c>
      <c r="K217" t="s">
        <v>29</v>
      </c>
    </row>
    <row r="218" spans="1:11" x14ac:dyDescent="0.3">
      <c r="A218">
        <v>3217</v>
      </c>
      <c r="B218" s="1">
        <v>46088</v>
      </c>
      <c r="C218" t="s">
        <v>23</v>
      </c>
      <c r="D218" t="s">
        <v>13</v>
      </c>
      <c r="E218" t="s">
        <v>14</v>
      </c>
      <c r="F218" t="s">
        <v>15</v>
      </c>
      <c r="G218" t="s">
        <v>16</v>
      </c>
      <c r="H218">
        <v>2</v>
      </c>
      <c r="I218">
        <v>40</v>
      </c>
      <c r="J218">
        <v>80</v>
      </c>
      <c r="K218" t="s">
        <v>17</v>
      </c>
    </row>
    <row r="219" spans="1:11" x14ac:dyDescent="0.3">
      <c r="A219">
        <v>3218</v>
      </c>
      <c r="B219" s="1">
        <v>46089</v>
      </c>
      <c r="C219" t="s">
        <v>33</v>
      </c>
      <c r="D219" t="s">
        <v>13</v>
      </c>
      <c r="E219" t="s">
        <v>30</v>
      </c>
      <c r="F219" t="s">
        <v>37</v>
      </c>
      <c r="G219" t="s">
        <v>38</v>
      </c>
      <c r="H219">
        <v>1</v>
      </c>
      <c r="I219">
        <v>30</v>
      </c>
      <c r="J219">
        <v>30</v>
      </c>
      <c r="K219" t="s">
        <v>20</v>
      </c>
    </row>
    <row r="220" spans="1:11" x14ac:dyDescent="0.3">
      <c r="A220">
        <v>3219</v>
      </c>
      <c r="B220" s="1">
        <v>46090</v>
      </c>
      <c r="C220" t="s">
        <v>2</v>
      </c>
      <c r="D220" t="s">
        <v>13</v>
      </c>
      <c r="E220" t="s">
        <v>30</v>
      </c>
      <c r="F220" t="s">
        <v>41</v>
      </c>
      <c r="G220" t="s">
        <v>38</v>
      </c>
      <c r="H220">
        <v>3</v>
      </c>
      <c r="I220">
        <v>80</v>
      </c>
      <c r="J220">
        <v>240</v>
      </c>
      <c r="K220" t="s">
        <v>29</v>
      </c>
    </row>
    <row r="221" spans="1:11" x14ac:dyDescent="0.3">
      <c r="A221">
        <v>3220</v>
      </c>
      <c r="B221" s="1">
        <v>46091</v>
      </c>
      <c r="C221" t="s">
        <v>23</v>
      </c>
      <c r="D221" t="s">
        <v>18</v>
      </c>
      <c r="E221" t="s">
        <v>30</v>
      </c>
      <c r="F221" t="s">
        <v>15</v>
      </c>
      <c r="G221" t="s">
        <v>16</v>
      </c>
      <c r="H221">
        <v>1</v>
      </c>
      <c r="I221">
        <v>40</v>
      </c>
      <c r="J221">
        <v>40</v>
      </c>
      <c r="K221" t="s">
        <v>17</v>
      </c>
    </row>
    <row r="222" spans="1:11" x14ac:dyDescent="0.3">
      <c r="A222">
        <v>3221</v>
      </c>
      <c r="B222" s="1">
        <v>46092</v>
      </c>
      <c r="C222" t="s">
        <v>23</v>
      </c>
      <c r="D222" t="s">
        <v>18</v>
      </c>
      <c r="E222" t="s">
        <v>30</v>
      </c>
      <c r="F222" t="s">
        <v>31</v>
      </c>
      <c r="G222" t="s">
        <v>32</v>
      </c>
      <c r="H222">
        <v>1</v>
      </c>
      <c r="I222">
        <v>60</v>
      </c>
      <c r="J222">
        <v>60</v>
      </c>
      <c r="K222" t="s">
        <v>29</v>
      </c>
    </row>
    <row r="223" spans="1:11" x14ac:dyDescent="0.3">
      <c r="A223">
        <v>3222</v>
      </c>
      <c r="B223" s="1">
        <v>46093</v>
      </c>
      <c r="C223" t="s">
        <v>23</v>
      </c>
      <c r="D223" t="s">
        <v>18</v>
      </c>
      <c r="E223" t="s">
        <v>30</v>
      </c>
      <c r="F223" t="s">
        <v>27</v>
      </c>
      <c r="G223" t="s">
        <v>28</v>
      </c>
      <c r="H223">
        <v>3</v>
      </c>
      <c r="I223">
        <v>35</v>
      </c>
      <c r="J223">
        <v>105</v>
      </c>
      <c r="K223" t="s">
        <v>29</v>
      </c>
    </row>
    <row r="224" spans="1:11" x14ac:dyDescent="0.3">
      <c r="A224">
        <v>3223</v>
      </c>
      <c r="B224" s="1">
        <v>46094</v>
      </c>
      <c r="C224" t="s">
        <v>23</v>
      </c>
      <c r="D224" t="s">
        <v>13</v>
      </c>
      <c r="E224" t="s">
        <v>14</v>
      </c>
      <c r="F224" t="s">
        <v>42</v>
      </c>
      <c r="G224" t="s">
        <v>25</v>
      </c>
      <c r="H224">
        <v>9</v>
      </c>
      <c r="I224">
        <v>6</v>
      </c>
      <c r="J224">
        <v>54</v>
      </c>
      <c r="K224" t="s">
        <v>17</v>
      </c>
    </row>
    <row r="225" spans="1:11" x14ac:dyDescent="0.3">
      <c r="A225">
        <v>3224</v>
      </c>
      <c r="B225" s="1">
        <v>46095</v>
      </c>
      <c r="C225" t="s">
        <v>23</v>
      </c>
      <c r="D225" t="s">
        <v>13</v>
      </c>
      <c r="E225" t="s">
        <v>14</v>
      </c>
      <c r="F225" t="s">
        <v>19</v>
      </c>
      <c r="G225" t="s">
        <v>16</v>
      </c>
      <c r="H225">
        <v>10</v>
      </c>
      <c r="I225">
        <v>70</v>
      </c>
      <c r="J225">
        <v>700</v>
      </c>
      <c r="K225" t="s">
        <v>29</v>
      </c>
    </row>
    <row r="226" spans="1:11" x14ac:dyDescent="0.3">
      <c r="A226">
        <v>3225</v>
      </c>
      <c r="B226" s="1">
        <v>46096</v>
      </c>
      <c r="C226" t="s">
        <v>23</v>
      </c>
      <c r="D226" t="s">
        <v>18</v>
      </c>
      <c r="E226" t="s">
        <v>30</v>
      </c>
      <c r="F226" t="s">
        <v>27</v>
      </c>
      <c r="G226" t="s">
        <v>28</v>
      </c>
      <c r="H226">
        <v>7</v>
      </c>
      <c r="I226">
        <v>35</v>
      </c>
      <c r="J226">
        <v>245</v>
      </c>
      <c r="K226" t="s">
        <v>17</v>
      </c>
    </row>
    <row r="227" spans="1:11" x14ac:dyDescent="0.3">
      <c r="A227">
        <v>3226</v>
      </c>
      <c r="B227" s="1">
        <v>46097</v>
      </c>
      <c r="C227" t="s">
        <v>1</v>
      </c>
      <c r="D227" t="s">
        <v>18</v>
      </c>
      <c r="E227" t="s">
        <v>30</v>
      </c>
      <c r="F227" t="s">
        <v>34</v>
      </c>
      <c r="G227" t="s">
        <v>35</v>
      </c>
      <c r="H227">
        <v>8</v>
      </c>
      <c r="I227">
        <v>250</v>
      </c>
      <c r="J227">
        <v>2000</v>
      </c>
      <c r="K227" t="s">
        <v>20</v>
      </c>
    </row>
    <row r="228" spans="1:11" x14ac:dyDescent="0.3">
      <c r="A228">
        <v>3227</v>
      </c>
      <c r="B228" s="1">
        <v>46098</v>
      </c>
      <c r="C228" t="s">
        <v>23</v>
      </c>
      <c r="D228" t="s">
        <v>13</v>
      </c>
      <c r="E228" t="s">
        <v>30</v>
      </c>
      <c r="F228" t="s">
        <v>39</v>
      </c>
      <c r="G228" t="s">
        <v>28</v>
      </c>
      <c r="H228">
        <v>8</v>
      </c>
      <c r="I228">
        <v>25</v>
      </c>
      <c r="J228">
        <v>200</v>
      </c>
      <c r="K228" t="s">
        <v>29</v>
      </c>
    </row>
    <row r="229" spans="1:11" x14ac:dyDescent="0.3">
      <c r="A229">
        <v>3228</v>
      </c>
      <c r="B229" s="1">
        <v>46099</v>
      </c>
      <c r="C229" t="s">
        <v>1</v>
      </c>
      <c r="D229" t="s">
        <v>13</v>
      </c>
      <c r="E229" t="s">
        <v>14</v>
      </c>
      <c r="F229" t="s">
        <v>39</v>
      </c>
      <c r="G229" t="s">
        <v>28</v>
      </c>
      <c r="H229">
        <v>6</v>
      </c>
      <c r="I229">
        <v>25</v>
      </c>
      <c r="J229">
        <v>150</v>
      </c>
      <c r="K229" t="s">
        <v>29</v>
      </c>
    </row>
    <row r="230" spans="1:11" x14ac:dyDescent="0.3">
      <c r="A230">
        <v>3229</v>
      </c>
      <c r="B230" s="1">
        <v>46100</v>
      </c>
      <c r="C230" t="s">
        <v>33</v>
      </c>
      <c r="D230" t="s">
        <v>13</v>
      </c>
      <c r="E230" t="s">
        <v>30</v>
      </c>
      <c r="F230" t="s">
        <v>26</v>
      </c>
      <c r="G230" t="s">
        <v>22</v>
      </c>
      <c r="H230">
        <v>2</v>
      </c>
      <c r="I230">
        <v>90</v>
      </c>
      <c r="J230">
        <v>180</v>
      </c>
      <c r="K230" t="s">
        <v>29</v>
      </c>
    </row>
    <row r="231" spans="1:11" x14ac:dyDescent="0.3">
      <c r="A231">
        <v>3230</v>
      </c>
      <c r="B231" s="1">
        <v>46101</v>
      </c>
      <c r="C231" t="s">
        <v>1</v>
      </c>
      <c r="D231" t="s">
        <v>18</v>
      </c>
      <c r="E231" t="s">
        <v>30</v>
      </c>
      <c r="F231" t="s">
        <v>37</v>
      </c>
      <c r="G231" t="s">
        <v>38</v>
      </c>
      <c r="H231">
        <v>3</v>
      </c>
      <c r="I231">
        <v>30</v>
      </c>
      <c r="J231">
        <v>90</v>
      </c>
      <c r="K231" t="s">
        <v>20</v>
      </c>
    </row>
    <row r="232" spans="1:11" x14ac:dyDescent="0.3">
      <c r="A232">
        <v>3231</v>
      </c>
      <c r="B232" s="1">
        <v>46102</v>
      </c>
      <c r="C232" t="s">
        <v>1</v>
      </c>
      <c r="D232" t="s">
        <v>13</v>
      </c>
      <c r="E232" t="s">
        <v>14</v>
      </c>
      <c r="F232" t="s">
        <v>40</v>
      </c>
      <c r="G232" t="s">
        <v>35</v>
      </c>
      <c r="H232">
        <v>9</v>
      </c>
      <c r="I232">
        <v>300</v>
      </c>
      <c r="J232">
        <v>2700</v>
      </c>
      <c r="K232" t="s">
        <v>17</v>
      </c>
    </row>
    <row r="233" spans="1:11" x14ac:dyDescent="0.3">
      <c r="A233">
        <v>3232</v>
      </c>
      <c r="B233" s="1">
        <v>46103</v>
      </c>
      <c r="C233" t="s">
        <v>2</v>
      </c>
      <c r="D233" t="s">
        <v>18</v>
      </c>
      <c r="E233" t="s">
        <v>30</v>
      </c>
      <c r="F233" t="s">
        <v>42</v>
      </c>
      <c r="G233" t="s">
        <v>25</v>
      </c>
      <c r="H233">
        <v>2</v>
      </c>
      <c r="I233">
        <v>6</v>
      </c>
      <c r="J233">
        <v>12</v>
      </c>
      <c r="K233" t="s">
        <v>20</v>
      </c>
    </row>
    <row r="234" spans="1:11" x14ac:dyDescent="0.3">
      <c r="A234">
        <v>3233</v>
      </c>
      <c r="B234" s="1">
        <v>46104</v>
      </c>
      <c r="C234" t="s">
        <v>33</v>
      </c>
      <c r="D234" t="s">
        <v>13</v>
      </c>
      <c r="E234" t="s">
        <v>14</v>
      </c>
      <c r="F234" t="s">
        <v>36</v>
      </c>
      <c r="G234" t="s">
        <v>25</v>
      </c>
      <c r="H234">
        <v>7</v>
      </c>
      <c r="I234">
        <v>120</v>
      </c>
      <c r="J234">
        <v>840</v>
      </c>
      <c r="K234" t="s">
        <v>20</v>
      </c>
    </row>
    <row r="235" spans="1:11" x14ac:dyDescent="0.3">
      <c r="A235">
        <v>3234</v>
      </c>
      <c r="B235" s="1">
        <v>46105</v>
      </c>
      <c r="C235" t="s">
        <v>23</v>
      </c>
      <c r="D235" t="s">
        <v>18</v>
      </c>
      <c r="E235" t="s">
        <v>30</v>
      </c>
      <c r="F235" t="s">
        <v>24</v>
      </c>
      <c r="G235" t="s">
        <v>25</v>
      </c>
      <c r="H235">
        <v>1</v>
      </c>
      <c r="I235">
        <v>50</v>
      </c>
      <c r="J235">
        <v>50</v>
      </c>
      <c r="K235" t="s">
        <v>20</v>
      </c>
    </row>
    <row r="236" spans="1:11" x14ac:dyDescent="0.3">
      <c r="A236">
        <v>3235</v>
      </c>
      <c r="B236" s="1">
        <v>46106</v>
      </c>
      <c r="C236" t="s">
        <v>2</v>
      </c>
      <c r="D236" t="s">
        <v>13</v>
      </c>
      <c r="E236" t="s">
        <v>30</v>
      </c>
      <c r="F236" t="s">
        <v>39</v>
      </c>
      <c r="G236" t="s">
        <v>28</v>
      </c>
      <c r="H236">
        <v>8</v>
      </c>
      <c r="I236">
        <v>25</v>
      </c>
      <c r="J236">
        <v>200</v>
      </c>
      <c r="K236" t="s">
        <v>29</v>
      </c>
    </row>
    <row r="237" spans="1:11" x14ac:dyDescent="0.3">
      <c r="A237">
        <v>3236</v>
      </c>
      <c r="B237" s="1">
        <v>46107</v>
      </c>
      <c r="C237" t="s">
        <v>33</v>
      </c>
      <c r="D237" t="s">
        <v>18</v>
      </c>
      <c r="E237" t="s">
        <v>14</v>
      </c>
      <c r="F237" t="s">
        <v>43</v>
      </c>
      <c r="G237" t="s">
        <v>28</v>
      </c>
      <c r="H237">
        <v>2</v>
      </c>
      <c r="I237">
        <v>40</v>
      </c>
      <c r="J237">
        <v>80</v>
      </c>
      <c r="K237" t="s">
        <v>20</v>
      </c>
    </row>
    <row r="238" spans="1:11" x14ac:dyDescent="0.3">
      <c r="A238">
        <v>3237</v>
      </c>
      <c r="B238" s="1">
        <v>46108</v>
      </c>
      <c r="C238" t="s">
        <v>33</v>
      </c>
      <c r="D238" t="s">
        <v>13</v>
      </c>
      <c r="E238" t="s">
        <v>14</v>
      </c>
      <c r="F238" t="s">
        <v>21</v>
      </c>
      <c r="G238" t="s">
        <v>22</v>
      </c>
      <c r="H238">
        <v>10</v>
      </c>
      <c r="I238">
        <v>50</v>
      </c>
      <c r="J238">
        <v>500</v>
      </c>
      <c r="K238" t="s">
        <v>29</v>
      </c>
    </row>
    <row r="239" spans="1:11" x14ac:dyDescent="0.3">
      <c r="A239">
        <v>3238</v>
      </c>
      <c r="B239" s="1">
        <v>46109</v>
      </c>
      <c r="C239" t="s">
        <v>2</v>
      </c>
      <c r="D239" t="s">
        <v>18</v>
      </c>
      <c r="E239" t="s">
        <v>30</v>
      </c>
      <c r="F239" t="s">
        <v>24</v>
      </c>
      <c r="G239" t="s">
        <v>25</v>
      </c>
      <c r="H239">
        <v>10</v>
      </c>
      <c r="I239">
        <v>50</v>
      </c>
      <c r="J239">
        <v>500</v>
      </c>
      <c r="K239" t="s">
        <v>17</v>
      </c>
    </row>
    <row r="240" spans="1:11" x14ac:dyDescent="0.3">
      <c r="A240">
        <v>3239</v>
      </c>
      <c r="B240" s="1">
        <v>46110</v>
      </c>
      <c r="C240" t="s">
        <v>23</v>
      </c>
      <c r="D240" t="s">
        <v>18</v>
      </c>
      <c r="E240" t="s">
        <v>14</v>
      </c>
      <c r="F240" t="s">
        <v>42</v>
      </c>
      <c r="G240" t="s">
        <v>25</v>
      </c>
      <c r="H240">
        <v>1</v>
      </c>
      <c r="I240">
        <v>6</v>
      </c>
      <c r="J240">
        <v>6</v>
      </c>
      <c r="K240" t="s">
        <v>17</v>
      </c>
    </row>
    <row r="241" spans="1:11" x14ac:dyDescent="0.3">
      <c r="A241">
        <v>3240</v>
      </c>
      <c r="B241" s="1">
        <v>46111</v>
      </c>
      <c r="C241" t="s">
        <v>1</v>
      </c>
      <c r="D241" t="s">
        <v>18</v>
      </c>
      <c r="E241" t="s">
        <v>14</v>
      </c>
      <c r="F241" t="s">
        <v>39</v>
      </c>
      <c r="G241" t="s">
        <v>28</v>
      </c>
      <c r="H241">
        <v>2</v>
      </c>
      <c r="I241">
        <v>25</v>
      </c>
      <c r="J241">
        <v>50</v>
      </c>
      <c r="K241" t="s">
        <v>20</v>
      </c>
    </row>
    <row r="242" spans="1:11" x14ac:dyDescent="0.3">
      <c r="A242">
        <v>3241</v>
      </c>
      <c r="B242" s="1">
        <v>46082</v>
      </c>
      <c r="C242" t="s">
        <v>23</v>
      </c>
      <c r="D242" t="s">
        <v>18</v>
      </c>
      <c r="E242" t="s">
        <v>14</v>
      </c>
      <c r="F242" t="s">
        <v>34</v>
      </c>
      <c r="G242" t="s">
        <v>35</v>
      </c>
      <c r="H242">
        <v>6</v>
      </c>
      <c r="I242">
        <v>250</v>
      </c>
      <c r="J242">
        <v>1500</v>
      </c>
      <c r="K242" t="s">
        <v>20</v>
      </c>
    </row>
    <row r="243" spans="1:11" x14ac:dyDescent="0.3">
      <c r="A243">
        <v>3242</v>
      </c>
      <c r="B243" s="1">
        <v>46083</v>
      </c>
      <c r="C243" t="s">
        <v>33</v>
      </c>
      <c r="D243" t="s">
        <v>18</v>
      </c>
      <c r="E243" t="s">
        <v>30</v>
      </c>
      <c r="F243" t="s">
        <v>37</v>
      </c>
      <c r="G243" t="s">
        <v>38</v>
      </c>
      <c r="H243">
        <v>9</v>
      </c>
      <c r="I243">
        <v>30</v>
      </c>
      <c r="J243">
        <v>270</v>
      </c>
      <c r="K243" t="s">
        <v>29</v>
      </c>
    </row>
    <row r="244" spans="1:11" x14ac:dyDescent="0.3">
      <c r="A244">
        <v>3243</v>
      </c>
      <c r="B244" s="1">
        <v>46084</v>
      </c>
      <c r="C244" t="s">
        <v>23</v>
      </c>
      <c r="D244" t="s">
        <v>18</v>
      </c>
      <c r="E244" t="s">
        <v>30</v>
      </c>
      <c r="F244" t="s">
        <v>34</v>
      </c>
      <c r="G244" t="s">
        <v>35</v>
      </c>
      <c r="H244">
        <v>10</v>
      </c>
      <c r="I244">
        <v>250</v>
      </c>
      <c r="J244">
        <v>2500</v>
      </c>
      <c r="K244" t="s">
        <v>29</v>
      </c>
    </row>
    <row r="245" spans="1:11" x14ac:dyDescent="0.3">
      <c r="A245">
        <v>3244</v>
      </c>
      <c r="B245" s="1">
        <v>46085</v>
      </c>
      <c r="C245" t="s">
        <v>1</v>
      </c>
      <c r="D245" t="s">
        <v>18</v>
      </c>
      <c r="E245" t="s">
        <v>14</v>
      </c>
      <c r="F245" t="s">
        <v>41</v>
      </c>
      <c r="G245" t="s">
        <v>38</v>
      </c>
      <c r="H245">
        <v>5</v>
      </c>
      <c r="I245">
        <v>80</v>
      </c>
      <c r="J245">
        <v>400</v>
      </c>
      <c r="K245" t="s">
        <v>20</v>
      </c>
    </row>
    <row r="246" spans="1:11" x14ac:dyDescent="0.3">
      <c r="A246">
        <v>3245</v>
      </c>
      <c r="B246" s="1">
        <v>46086</v>
      </c>
      <c r="C246" t="s">
        <v>1</v>
      </c>
      <c r="D246" t="s">
        <v>18</v>
      </c>
      <c r="E246" t="s">
        <v>30</v>
      </c>
      <c r="F246" t="s">
        <v>24</v>
      </c>
      <c r="G246" t="s">
        <v>25</v>
      </c>
      <c r="H246">
        <v>10</v>
      </c>
      <c r="I246">
        <v>50</v>
      </c>
      <c r="J246">
        <v>500</v>
      </c>
      <c r="K246" t="s">
        <v>29</v>
      </c>
    </row>
    <row r="247" spans="1:11" x14ac:dyDescent="0.3">
      <c r="A247">
        <v>3246</v>
      </c>
      <c r="B247" s="1">
        <v>46087</v>
      </c>
      <c r="C247" t="s">
        <v>1</v>
      </c>
      <c r="D247" t="s">
        <v>13</v>
      </c>
      <c r="E247" t="s">
        <v>14</v>
      </c>
      <c r="F247" t="s">
        <v>42</v>
      </c>
      <c r="G247" t="s">
        <v>25</v>
      </c>
      <c r="H247">
        <v>10</v>
      </c>
      <c r="I247">
        <v>6</v>
      </c>
      <c r="J247">
        <v>60</v>
      </c>
      <c r="K247" t="s">
        <v>17</v>
      </c>
    </row>
    <row r="248" spans="1:11" x14ac:dyDescent="0.3">
      <c r="A248">
        <v>3247</v>
      </c>
      <c r="B248" s="1">
        <v>46088</v>
      </c>
      <c r="C248" t="s">
        <v>23</v>
      </c>
      <c r="D248" t="s">
        <v>13</v>
      </c>
      <c r="E248" t="s">
        <v>30</v>
      </c>
      <c r="F248" t="s">
        <v>41</v>
      </c>
      <c r="G248" t="s">
        <v>38</v>
      </c>
      <c r="H248">
        <v>2</v>
      </c>
      <c r="I248">
        <v>80</v>
      </c>
      <c r="J248">
        <v>160</v>
      </c>
      <c r="K248" t="s">
        <v>29</v>
      </c>
    </row>
    <row r="249" spans="1:11" x14ac:dyDescent="0.3">
      <c r="A249">
        <v>3248</v>
      </c>
      <c r="B249" s="1">
        <v>46089</v>
      </c>
      <c r="C249" t="s">
        <v>2</v>
      </c>
      <c r="D249" t="s">
        <v>13</v>
      </c>
      <c r="E249" t="s">
        <v>14</v>
      </c>
      <c r="F249" t="s">
        <v>40</v>
      </c>
      <c r="G249" t="s">
        <v>35</v>
      </c>
      <c r="H249">
        <v>4</v>
      </c>
      <c r="I249">
        <v>300</v>
      </c>
      <c r="J249">
        <v>1200</v>
      </c>
      <c r="K249" t="s">
        <v>17</v>
      </c>
    </row>
    <row r="250" spans="1:11" x14ac:dyDescent="0.3">
      <c r="A250">
        <v>3249</v>
      </c>
      <c r="B250" s="1">
        <v>46090</v>
      </c>
      <c r="C250" t="s">
        <v>2</v>
      </c>
      <c r="D250" t="s">
        <v>18</v>
      </c>
      <c r="E250" t="s">
        <v>30</v>
      </c>
      <c r="F250" t="s">
        <v>15</v>
      </c>
      <c r="G250" t="s">
        <v>16</v>
      </c>
      <c r="H250">
        <v>6</v>
      </c>
      <c r="I250">
        <v>40</v>
      </c>
      <c r="J250">
        <v>240</v>
      </c>
      <c r="K250" t="s">
        <v>29</v>
      </c>
    </row>
    <row r="251" spans="1:11" x14ac:dyDescent="0.3">
      <c r="A251">
        <v>3250</v>
      </c>
      <c r="B251" s="1">
        <v>46091</v>
      </c>
      <c r="C251" t="s">
        <v>1</v>
      </c>
      <c r="D251" t="s">
        <v>18</v>
      </c>
      <c r="E251" t="s">
        <v>14</v>
      </c>
      <c r="F251" t="s">
        <v>19</v>
      </c>
      <c r="G251" t="s">
        <v>16</v>
      </c>
      <c r="H251">
        <v>10</v>
      </c>
      <c r="I251">
        <v>70</v>
      </c>
      <c r="J251">
        <v>700</v>
      </c>
      <c r="K25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BF0F5-0A17-4755-80AD-3E245CC7F2BD}">
  <dimension ref="A3:B8"/>
  <sheetViews>
    <sheetView topLeftCell="A2" workbookViewId="0">
      <selection activeCell="D8" sqref="D8"/>
    </sheetView>
  </sheetViews>
  <sheetFormatPr defaultRowHeight="14.4" x14ac:dyDescent="0.3"/>
  <cols>
    <col min="1" max="1" width="12.5546875" bestFit="1" customWidth="1"/>
    <col min="2" max="2" width="19.21875" bestFit="1" customWidth="1"/>
  </cols>
  <sheetData>
    <row r="3" spans="1:2" x14ac:dyDescent="0.3">
      <c r="A3" s="2" t="s">
        <v>45</v>
      </c>
      <c r="B3" t="s">
        <v>47</v>
      </c>
    </row>
    <row r="4" spans="1:2" x14ac:dyDescent="0.3">
      <c r="A4" s="3" t="s">
        <v>1</v>
      </c>
      <c r="B4" s="4">
        <v>28406</v>
      </c>
    </row>
    <row r="5" spans="1:2" x14ac:dyDescent="0.3">
      <c r="A5" s="3" t="s">
        <v>23</v>
      </c>
      <c r="B5" s="4">
        <v>34746</v>
      </c>
    </row>
    <row r="6" spans="1:2" x14ac:dyDescent="0.3">
      <c r="A6" s="3" t="s">
        <v>2</v>
      </c>
      <c r="B6" s="4">
        <v>18846</v>
      </c>
    </row>
    <row r="7" spans="1:2" x14ac:dyDescent="0.3">
      <c r="A7" s="3" t="s">
        <v>33</v>
      </c>
      <c r="B7" s="4">
        <v>37113</v>
      </c>
    </row>
    <row r="8" spans="1:2" x14ac:dyDescent="0.3">
      <c r="A8" s="3" t="s">
        <v>46</v>
      </c>
      <c r="B8" s="4">
        <v>119111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9C1B-8D4A-4457-B8AF-A8EE61141DAB}">
  <dimension ref="A3:B15"/>
  <sheetViews>
    <sheetView workbookViewId="0">
      <selection activeCell="O32" sqref="O31:O32"/>
    </sheetView>
  </sheetViews>
  <sheetFormatPr defaultRowHeight="14.4" x14ac:dyDescent="0.3"/>
  <cols>
    <col min="1" max="1" width="12.5546875" bestFit="1" customWidth="1"/>
    <col min="2" max="2" width="19.21875" bestFit="1" customWidth="1"/>
  </cols>
  <sheetData>
    <row r="3" spans="1:2" x14ac:dyDescent="0.3">
      <c r="A3" s="2" t="s">
        <v>45</v>
      </c>
      <c r="B3" t="s">
        <v>47</v>
      </c>
    </row>
    <row r="4" spans="1:2" x14ac:dyDescent="0.3">
      <c r="A4" s="3" t="s">
        <v>16</v>
      </c>
      <c r="B4" s="4">
        <v>10500</v>
      </c>
    </row>
    <row r="5" spans="1:2" x14ac:dyDescent="0.3">
      <c r="A5" s="3" t="s">
        <v>22</v>
      </c>
      <c r="B5" s="4">
        <v>11400</v>
      </c>
    </row>
    <row r="6" spans="1:2" x14ac:dyDescent="0.3">
      <c r="A6" s="3" t="s">
        <v>25</v>
      </c>
      <c r="B6" s="4">
        <v>25656</v>
      </c>
    </row>
    <row r="7" spans="1:2" x14ac:dyDescent="0.3">
      <c r="A7" s="3" t="s">
        <v>38</v>
      </c>
      <c r="B7" s="4">
        <v>10860</v>
      </c>
    </row>
    <row r="8" spans="1:2" x14ac:dyDescent="0.3">
      <c r="A8" s="3" t="s">
        <v>32</v>
      </c>
      <c r="B8" s="4">
        <v>3660</v>
      </c>
    </row>
    <row r="9" spans="1:2" x14ac:dyDescent="0.3">
      <c r="A9" s="3" t="s">
        <v>35</v>
      </c>
      <c r="B9" s="4">
        <v>47500</v>
      </c>
    </row>
    <row r="10" spans="1:2" x14ac:dyDescent="0.3">
      <c r="A10" s="3" t="s">
        <v>28</v>
      </c>
      <c r="B10" s="4">
        <v>9535</v>
      </c>
    </row>
    <row r="11" spans="1:2" x14ac:dyDescent="0.3">
      <c r="A11" s="3" t="s">
        <v>46</v>
      </c>
      <c r="B11" s="4">
        <v>119111</v>
      </c>
    </row>
    <row r="15" spans="1:2" x14ac:dyDescent="0.3">
      <c r="B15">
        <f>GETPIVOTDATA("Total Amount",$A$3)</f>
        <v>119111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30EE-76B8-4ECB-A1FC-8E684F9B2E97}">
  <dimension ref="A3:B7"/>
  <sheetViews>
    <sheetView workbookViewId="0">
      <selection activeCell="D21" sqref="D21"/>
    </sheetView>
  </sheetViews>
  <sheetFormatPr defaultRowHeight="14.4" x14ac:dyDescent="0.3"/>
  <cols>
    <col min="1" max="1" width="12.5546875" bestFit="1" customWidth="1"/>
    <col min="2" max="2" width="19.21875" bestFit="1" customWidth="1"/>
  </cols>
  <sheetData>
    <row r="3" spans="1:2" x14ac:dyDescent="0.3">
      <c r="A3" s="2" t="s">
        <v>45</v>
      </c>
      <c r="B3" t="s">
        <v>47</v>
      </c>
    </row>
    <row r="4" spans="1:2" x14ac:dyDescent="0.3">
      <c r="A4" s="3" t="s">
        <v>17</v>
      </c>
      <c r="B4" s="4">
        <v>36801</v>
      </c>
    </row>
    <row r="5" spans="1:2" x14ac:dyDescent="0.3">
      <c r="A5" s="3" t="s">
        <v>20</v>
      </c>
      <c r="B5" s="4">
        <v>40764</v>
      </c>
    </row>
    <row r="6" spans="1:2" x14ac:dyDescent="0.3">
      <c r="A6" s="3" t="s">
        <v>29</v>
      </c>
      <c r="B6" s="4">
        <v>41546</v>
      </c>
    </row>
    <row r="7" spans="1:2" x14ac:dyDescent="0.3">
      <c r="A7" s="3" t="s">
        <v>46</v>
      </c>
      <c r="B7" s="4">
        <v>119111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94DC-810E-4154-BC00-316A24BAB11A}">
  <dimension ref="A3:B20"/>
  <sheetViews>
    <sheetView workbookViewId="0">
      <selection activeCell="W8" sqref="W8"/>
    </sheetView>
  </sheetViews>
  <sheetFormatPr defaultRowHeight="14.4" x14ac:dyDescent="0.3"/>
  <cols>
    <col min="1" max="1" width="12.5546875" bestFit="1" customWidth="1"/>
    <col min="2" max="2" width="14.88671875" bestFit="1" customWidth="1"/>
  </cols>
  <sheetData>
    <row r="3" spans="1:2" x14ac:dyDescent="0.3">
      <c r="A3" s="2" t="s">
        <v>45</v>
      </c>
      <c r="B3" t="s">
        <v>54</v>
      </c>
    </row>
    <row r="4" spans="1:2" x14ac:dyDescent="0.3">
      <c r="A4" s="3" t="s">
        <v>41</v>
      </c>
      <c r="B4" s="4">
        <v>111</v>
      </c>
    </row>
    <row r="5" spans="1:2" x14ac:dyDescent="0.3">
      <c r="A5" s="3" t="s">
        <v>37</v>
      </c>
      <c r="B5" s="4">
        <v>66</v>
      </c>
    </row>
    <row r="6" spans="1:2" x14ac:dyDescent="0.3">
      <c r="A6" s="3" t="s">
        <v>15</v>
      </c>
      <c r="B6" s="4">
        <v>147</v>
      </c>
    </row>
    <row r="7" spans="1:2" x14ac:dyDescent="0.3">
      <c r="A7" s="3" t="s">
        <v>36</v>
      </c>
      <c r="B7" s="4">
        <v>73</v>
      </c>
    </row>
    <row r="8" spans="1:2" x14ac:dyDescent="0.3">
      <c r="A8" s="3" t="s">
        <v>44</v>
      </c>
      <c r="B8" s="4">
        <v>54</v>
      </c>
    </row>
    <row r="9" spans="1:2" x14ac:dyDescent="0.3">
      <c r="A9" s="3" t="s">
        <v>34</v>
      </c>
      <c r="B9" s="4">
        <v>94</v>
      </c>
    </row>
    <row r="10" spans="1:2" x14ac:dyDescent="0.3">
      <c r="A10" s="3" t="s">
        <v>21</v>
      </c>
      <c r="B10" s="4">
        <v>93</v>
      </c>
    </row>
    <row r="11" spans="1:2" x14ac:dyDescent="0.3">
      <c r="A11" s="3" t="s">
        <v>19</v>
      </c>
      <c r="B11" s="4">
        <v>66</v>
      </c>
    </row>
    <row r="12" spans="1:2" x14ac:dyDescent="0.3">
      <c r="A12" s="3" t="s">
        <v>42</v>
      </c>
      <c r="B12" s="4">
        <v>116</v>
      </c>
    </row>
    <row r="13" spans="1:2" x14ac:dyDescent="0.3">
      <c r="A13" s="3" t="s">
        <v>40</v>
      </c>
      <c r="B13" s="4">
        <v>80</v>
      </c>
    </row>
    <row r="14" spans="1:2" x14ac:dyDescent="0.3">
      <c r="A14" s="3" t="s">
        <v>26</v>
      </c>
      <c r="B14" s="4">
        <v>75</v>
      </c>
    </row>
    <row r="15" spans="1:2" x14ac:dyDescent="0.3">
      <c r="A15" s="3" t="s">
        <v>24</v>
      </c>
      <c r="B15" s="4">
        <v>108</v>
      </c>
    </row>
    <row r="16" spans="1:2" x14ac:dyDescent="0.3">
      <c r="A16" s="3" t="s">
        <v>27</v>
      </c>
      <c r="B16" s="4">
        <v>102</v>
      </c>
    </row>
    <row r="17" spans="1:2" x14ac:dyDescent="0.3">
      <c r="A17" s="3" t="s">
        <v>39</v>
      </c>
      <c r="B17" s="4">
        <v>117</v>
      </c>
    </row>
    <row r="18" spans="1:2" x14ac:dyDescent="0.3">
      <c r="A18" s="3" t="s">
        <v>31</v>
      </c>
      <c r="B18" s="4">
        <v>61</v>
      </c>
    </row>
    <row r="19" spans="1:2" x14ac:dyDescent="0.3">
      <c r="A19" s="3" t="s">
        <v>43</v>
      </c>
      <c r="B19" s="4">
        <v>76</v>
      </c>
    </row>
    <row r="20" spans="1:2" x14ac:dyDescent="0.3">
      <c r="A20" s="3" t="s">
        <v>46</v>
      </c>
      <c r="B20" s="4">
        <v>1439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77A6-12D5-4EE2-937F-0537C21C48F7}">
  <dimension ref="A1:X34"/>
  <sheetViews>
    <sheetView tabSelected="1" workbookViewId="0">
      <selection activeCell="V7" sqref="V7"/>
    </sheetView>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row r="5" spans="1:24" x14ac:dyDescent="0.3">
      <c r="A5" s="8"/>
      <c r="B5" s="8"/>
      <c r="C5" s="8"/>
      <c r="D5" s="8"/>
      <c r="E5" s="8"/>
      <c r="F5" s="8"/>
      <c r="G5" s="8"/>
      <c r="H5" s="8"/>
      <c r="I5" s="8"/>
      <c r="J5" s="8"/>
      <c r="K5" s="8"/>
      <c r="L5" s="8"/>
      <c r="M5" s="8"/>
      <c r="N5" s="8"/>
      <c r="O5" s="8"/>
      <c r="P5" s="8"/>
      <c r="Q5" s="8"/>
      <c r="R5" s="8"/>
      <c r="S5" s="8"/>
      <c r="T5" s="8"/>
      <c r="U5" s="8"/>
      <c r="V5" s="8"/>
      <c r="W5" s="8"/>
      <c r="X5" s="8"/>
    </row>
    <row r="6" spans="1:24" x14ac:dyDescent="0.3">
      <c r="A6" s="8"/>
      <c r="B6" s="8"/>
      <c r="C6" s="8"/>
      <c r="D6" s="8"/>
      <c r="E6" s="8"/>
      <c r="F6" s="8"/>
      <c r="G6" s="8"/>
      <c r="H6" s="8"/>
      <c r="I6" s="8"/>
      <c r="J6" s="8"/>
      <c r="K6" s="8"/>
      <c r="L6" s="8"/>
      <c r="M6" s="8"/>
      <c r="N6" s="8"/>
      <c r="O6" s="8"/>
      <c r="P6" s="8"/>
      <c r="Q6" s="8"/>
      <c r="R6" s="8"/>
      <c r="S6" s="8"/>
      <c r="T6" s="8"/>
      <c r="U6" s="8"/>
      <c r="V6" s="8"/>
      <c r="W6" s="8"/>
      <c r="X6" s="8"/>
    </row>
    <row r="7" spans="1:24" x14ac:dyDescent="0.3">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8"/>
      <c r="I8" s="8"/>
      <c r="J8" s="8"/>
      <c r="K8" s="8"/>
      <c r="L8" s="8"/>
      <c r="M8" s="8"/>
      <c r="N8" s="8"/>
      <c r="O8" s="8"/>
      <c r="P8" s="8"/>
      <c r="Q8" s="8"/>
      <c r="R8" s="8"/>
      <c r="S8" s="8"/>
      <c r="T8" s="8"/>
      <c r="U8" s="8"/>
      <c r="V8" s="8"/>
      <c r="W8" s="8"/>
      <c r="X8" s="8"/>
    </row>
    <row r="9" spans="1:24" x14ac:dyDescent="0.3">
      <c r="A9" s="8"/>
      <c r="B9" s="8"/>
      <c r="C9" s="8"/>
      <c r="D9" s="8"/>
      <c r="E9" s="8"/>
      <c r="F9" s="8"/>
      <c r="G9" s="8"/>
      <c r="H9" s="8"/>
      <c r="I9" s="8"/>
      <c r="J9" s="8"/>
      <c r="K9" s="8"/>
      <c r="L9" s="8"/>
      <c r="M9" s="8"/>
      <c r="N9" s="8"/>
      <c r="O9" s="8"/>
      <c r="P9" s="8"/>
      <c r="Q9" s="8"/>
      <c r="R9" s="8"/>
      <c r="S9" s="8"/>
      <c r="T9" s="8"/>
      <c r="U9" s="8"/>
      <c r="V9" s="8"/>
      <c r="W9" s="8"/>
      <c r="X9" s="8"/>
    </row>
    <row r="10" spans="1:24" x14ac:dyDescent="0.3">
      <c r="A10" s="8"/>
      <c r="B10" s="8"/>
      <c r="C10" s="8"/>
      <c r="D10" s="8"/>
      <c r="E10" s="8"/>
      <c r="F10" s="8"/>
      <c r="G10" s="8"/>
      <c r="H10" s="8"/>
      <c r="I10" s="8"/>
      <c r="J10" s="8"/>
      <c r="K10" s="8"/>
      <c r="L10" s="8"/>
      <c r="M10" s="8"/>
      <c r="N10" s="8"/>
      <c r="O10" s="8"/>
      <c r="P10" s="8"/>
      <c r="Q10" s="8"/>
      <c r="R10" s="8"/>
      <c r="S10" s="8"/>
      <c r="T10" s="8"/>
      <c r="U10" s="8"/>
      <c r="V10" s="8"/>
      <c r="W10" s="8"/>
      <c r="X10" s="8"/>
    </row>
    <row r="11" spans="1:24" x14ac:dyDescent="0.3">
      <c r="A11" s="8"/>
      <c r="B11" s="8"/>
      <c r="C11" s="8"/>
      <c r="D11" s="8"/>
      <c r="E11" s="8"/>
      <c r="F11" s="8"/>
      <c r="G11" s="8"/>
      <c r="H11" s="8"/>
      <c r="I11" s="8"/>
      <c r="J11" s="8"/>
      <c r="K11" s="8"/>
      <c r="L11" s="8"/>
      <c r="M11" s="8"/>
      <c r="N11" s="8"/>
      <c r="O11" s="8"/>
      <c r="P11" s="8"/>
      <c r="Q11" s="8"/>
      <c r="R11" s="8"/>
      <c r="S11" s="8"/>
      <c r="T11" s="8"/>
      <c r="U11" s="8"/>
      <c r="V11" s="8"/>
      <c r="W11" s="8"/>
      <c r="X11" s="8"/>
    </row>
    <row r="12" spans="1:24" x14ac:dyDescent="0.3">
      <c r="A12" s="8"/>
      <c r="B12" s="8"/>
      <c r="C12" s="8"/>
      <c r="D12" s="8"/>
      <c r="E12" s="8"/>
      <c r="F12" s="8"/>
      <c r="G12" s="8"/>
      <c r="H12" s="8"/>
      <c r="I12" s="8"/>
      <c r="J12" s="8"/>
      <c r="K12" s="8"/>
      <c r="L12" s="8"/>
      <c r="M12" s="8"/>
      <c r="N12" s="8"/>
      <c r="O12" s="8"/>
      <c r="P12" s="8"/>
      <c r="Q12" s="8"/>
      <c r="R12" s="8"/>
      <c r="S12" s="8"/>
      <c r="T12" s="8"/>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8"/>
      <c r="H23" s="8"/>
      <c r="I23" s="8"/>
      <c r="J23" s="8"/>
      <c r="K23" s="8"/>
      <c r="L23" s="8"/>
      <c r="M23" s="8"/>
      <c r="N23" s="8"/>
      <c r="O23" s="8"/>
      <c r="P23" s="8"/>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row r="26" spans="1:24" x14ac:dyDescent="0.3">
      <c r="A26" s="8"/>
      <c r="B26" s="8"/>
      <c r="C26" s="8"/>
      <c r="D26" s="8"/>
      <c r="E26" s="8"/>
      <c r="F26" s="8"/>
      <c r="G26" s="8"/>
      <c r="H26" s="8"/>
      <c r="I26" s="8"/>
      <c r="J26" s="8"/>
      <c r="K26" s="8"/>
      <c r="L26" s="8"/>
      <c r="M26" s="8"/>
      <c r="N26" s="8"/>
      <c r="O26" s="8"/>
      <c r="P26" s="8"/>
      <c r="Q26" s="8"/>
      <c r="R26" s="8"/>
      <c r="S26" s="8"/>
      <c r="T26" s="8"/>
      <c r="U26" s="8"/>
      <c r="V26" s="8"/>
      <c r="W26" s="8"/>
      <c r="X26" s="8"/>
    </row>
    <row r="27" spans="1:24" x14ac:dyDescent="0.3">
      <c r="A27" s="8"/>
      <c r="B27" s="8"/>
      <c r="C27" s="8"/>
      <c r="D27" s="8"/>
      <c r="E27" s="8"/>
      <c r="F27" s="8"/>
      <c r="G27" s="8"/>
      <c r="H27" s="8"/>
      <c r="I27" s="8"/>
      <c r="J27" s="8"/>
      <c r="K27" s="8"/>
      <c r="L27" s="8"/>
      <c r="M27" s="8"/>
      <c r="N27" s="8"/>
      <c r="O27" s="8"/>
      <c r="P27" s="8"/>
      <c r="Q27" s="8"/>
      <c r="R27" s="8"/>
      <c r="S27" s="8"/>
      <c r="T27" s="8"/>
      <c r="U27" s="8"/>
      <c r="V27" s="8"/>
      <c r="W27" s="8"/>
      <c r="X27" s="8"/>
    </row>
    <row r="28" spans="1:24" x14ac:dyDescent="0.3">
      <c r="A28" s="8"/>
      <c r="B28" s="8"/>
      <c r="C28" s="8"/>
      <c r="D28" s="8"/>
      <c r="E28" s="8"/>
      <c r="F28" s="8"/>
      <c r="G28" s="8"/>
      <c r="H28" s="8"/>
      <c r="I28" s="8"/>
      <c r="J28" s="8"/>
      <c r="K28" s="8"/>
      <c r="L28" s="8"/>
      <c r="M28" s="8"/>
      <c r="N28" s="8"/>
      <c r="O28" s="8"/>
      <c r="P28" s="8"/>
      <c r="Q28" s="8"/>
      <c r="R28" s="8"/>
      <c r="S28" s="8"/>
      <c r="T28" s="8"/>
      <c r="U28" s="8"/>
      <c r="V28" s="8"/>
      <c r="W28" s="8"/>
      <c r="X28" s="8"/>
    </row>
    <row r="29" spans="1:24" x14ac:dyDescent="0.3">
      <c r="A29" s="8"/>
      <c r="B29" s="8"/>
      <c r="C29" s="8"/>
      <c r="D29" s="8"/>
      <c r="E29" s="8"/>
      <c r="F29" s="8"/>
      <c r="G29" s="8"/>
      <c r="H29" s="8"/>
      <c r="I29" s="8"/>
      <c r="J29" s="8"/>
      <c r="K29" s="8"/>
      <c r="L29" s="8"/>
      <c r="M29" s="8"/>
      <c r="N29" s="8"/>
      <c r="O29" s="8"/>
      <c r="P29" s="8"/>
      <c r="Q29" s="8"/>
      <c r="R29" s="8"/>
      <c r="S29" s="8"/>
      <c r="T29" s="8"/>
      <c r="U29" s="8"/>
      <c r="V29" s="8"/>
      <c r="W29" s="8"/>
      <c r="X29" s="8"/>
    </row>
    <row r="30" spans="1:24" x14ac:dyDescent="0.3">
      <c r="A30" s="8"/>
      <c r="B30" s="8"/>
      <c r="C30" s="8"/>
      <c r="D30" s="8"/>
      <c r="E30" s="8"/>
      <c r="F30" s="8"/>
      <c r="G30" s="8"/>
      <c r="H30" s="8"/>
      <c r="I30" s="8"/>
      <c r="J30" s="8"/>
      <c r="K30" s="8"/>
      <c r="L30" s="8"/>
      <c r="M30" s="8"/>
      <c r="N30" s="8"/>
      <c r="O30" s="8"/>
      <c r="P30" s="8"/>
      <c r="Q30" s="8"/>
      <c r="R30" s="8"/>
      <c r="S30" s="8"/>
      <c r="T30" s="8"/>
      <c r="U30" s="8"/>
      <c r="V30" s="8"/>
      <c r="W30" s="8"/>
      <c r="X30" s="8"/>
    </row>
    <row r="31" spans="1:24" x14ac:dyDescent="0.3">
      <c r="A31" s="8"/>
      <c r="B31" s="8"/>
      <c r="C31" s="8"/>
      <c r="D31" s="8"/>
      <c r="E31" s="8"/>
      <c r="F31" s="8"/>
      <c r="G31" s="8"/>
      <c r="H31" s="8"/>
      <c r="I31" s="8"/>
      <c r="J31" s="8"/>
      <c r="K31" s="8"/>
      <c r="L31" s="8"/>
      <c r="M31" s="8"/>
      <c r="N31" s="8"/>
      <c r="O31" s="8"/>
      <c r="P31" s="8"/>
      <c r="Q31" s="8"/>
      <c r="R31" s="8"/>
      <c r="S31" s="8"/>
      <c r="T31" s="8"/>
      <c r="U31" s="8"/>
      <c r="V31" s="8"/>
      <c r="W31" s="8"/>
      <c r="X31" s="8"/>
    </row>
    <row r="32" spans="1:24" x14ac:dyDescent="0.3">
      <c r="A32" s="8"/>
      <c r="B32" s="8"/>
      <c r="C32" s="8"/>
      <c r="D32" s="8"/>
      <c r="E32" s="8"/>
      <c r="F32" s="8"/>
      <c r="G32" s="8"/>
      <c r="H32" s="8"/>
      <c r="I32" s="8"/>
      <c r="J32" s="8"/>
      <c r="K32" s="8"/>
      <c r="L32" s="8"/>
      <c r="M32" s="8"/>
      <c r="N32" s="8"/>
      <c r="O32" s="8"/>
      <c r="P32" s="8"/>
      <c r="Q32" s="8"/>
      <c r="R32" s="8"/>
      <c r="S32" s="8"/>
      <c r="T32" s="8"/>
      <c r="U32" s="8"/>
      <c r="V32" s="8"/>
      <c r="W32" s="8"/>
      <c r="X32" s="8"/>
    </row>
    <row r="33" spans="1:24" x14ac:dyDescent="0.3">
      <c r="A33" s="8"/>
      <c r="B33" s="8"/>
      <c r="C33" s="8"/>
      <c r="D33" s="8"/>
      <c r="E33" s="8"/>
      <c r="F33" s="8"/>
      <c r="G33" s="8"/>
      <c r="H33" s="8"/>
      <c r="I33" s="8"/>
      <c r="J33" s="8"/>
      <c r="K33" s="8"/>
      <c r="L33" s="8"/>
      <c r="M33" s="8"/>
      <c r="N33" s="8"/>
      <c r="O33" s="8"/>
      <c r="P33" s="8"/>
      <c r="Q33" s="8"/>
      <c r="R33" s="8"/>
      <c r="S33" s="8"/>
      <c r="T33" s="8"/>
      <c r="U33" s="8"/>
      <c r="V33" s="8"/>
      <c r="W33" s="8"/>
      <c r="X33" s="8"/>
    </row>
    <row r="34" spans="1:24" x14ac:dyDescent="0.3">
      <c r="A34" s="8"/>
      <c r="B34" s="8"/>
      <c r="C34" s="8"/>
      <c r="D34" s="8"/>
      <c r="E34" s="8"/>
      <c r="F34" s="8"/>
      <c r="G34" s="8"/>
      <c r="H34" s="8"/>
      <c r="I34" s="8"/>
      <c r="J34" s="8"/>
      <c r="K34" s="8"/>
      <c r="L34" s="8"/>
      <c r="M34" s="8"/>
      <c r="N34" s="8"/>
      <c r="O34" s="8"/>
      <c r="P34" s="8"/>
      <c r="Q34" s="8"/>
      <c r="R34" s="8"/>
      <c r="S34" s="8"/>
      <c r="T34" s="8"/>
      <c r="U34" s="8"/>
      <c r="V34" s="8"/>
      <c r="W34" s="8"/>
      <c r="X3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city sale</vt:lpstr>
      <vt:lpstr>line chart</vt:lpstr>
      <vt:lpstr>pyment</vt:lpstr>
      <vt:lpstr>clusturd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patel</dc:creator>
  <cp:lastModifiedBy>yash patel</cp:lastModifiedBy>
  <dcterms:created xsi:type="dcterms:W3CDTF">2026-03-25T04:55:13Z</dcterms:created>
  <dcterms:modified xsi:type="dcterms:W3CDTF">2026-03-25T07:05:41Z</dcterms:modified>
</cp:coreProperties>
</file>